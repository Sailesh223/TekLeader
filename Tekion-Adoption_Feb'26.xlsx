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tekion-my.sharepoint.com/personal/srividya_tekion_com/Documents/Documents/"/>
    </mc:Choice>
  </mc:AlternateContent>
  <xr:revisionPtr revIDLastSave="0" documentId="8_{4EFD9A02-A653-453A-B8E9-BFEED1344C1A}" xr6:coauthVersionLast="47" xr6:coauthVersionMax="47" xr10:uidLastSave="{00000000-0000-0000-0000-000000000000}"/>
  <bookViews>
    <workbookView xWindow="-110" yWindow="-110" windowWidth="22780" windowHeight="14540" xr2:uid="{DE3DB3A9-7B12-4027-BBEF-74F0AA5F1B2F}"/>
  </bookViews>
  <sheets>
    <sheet name="Note" sheetId="4" r:id="rId1"/>
    <sheet name="People Manager Pivot Summary" sheetId="2" r:id="rId2"/>
    <sheet name="Master Report" sheetId="1" r:id="rId3"/>
  </sheets>
  <definedNames>
    <definedName name="_xlnm._FilterDatabase" localSheetId="2" hidden="1">'Master Report'!$A$1:$L$175</definedName>
  </definedNames>
  <calcPr calcId="191028"/>
  <pivotCaches>
    <pivotCache cacheId="73"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2" l="1"/>
  <c r="E7" i="2"/>
  <c r="D8" i="2"/>
  <c r="E8" i="2"/>
  <c r="D9" i="2"/>
  <c r="E9" i="2"/>
  <c r="D10" i="2"/>
  <c r="E10" i="2"/>
  <c r="D11" i="2"/>
  <c r="E11" i="2"/>
  <c r="D12" i="2"/>
  <c r="E12" i="2"/>
  <c r="D13" i="2"/>
  <c r="E13" i="2"/>
  <c r="D14" i="2"/>
  <c r="E14" i="2"/>
  <c r="D15" i="2"/>
  <c r="E15" i="2"/>
  <c r="D16" i="2"/>
  <c r="E16" i="2"/>
  <c r="D17" i="2"/>
  <c r="E17" i="2"/>
  <c r="D18" i="2"/>
  <c r="E18" i="2"/>
  <c r="D19" i="2"/>
  <c r="E19" i="2"/>
  <c r="D20" i="2"/>
  <c r="E20" i="2"/>
  <c r="D21" i="2"/>
  <c r="E21" i="2"/>
  <c r="D22" i="2"/>
  <c r="E22" i="2"/>
  <c r="D23" i="2"/>
  <c r="E23" i="2"/>
  <c r="D24" i="2"/>
  <c r="E24" i="2"/>
  <c r="D25" i="2"/>
  <c r="E25" i="2"/>
  <c r="D26" i="2"/>
  <c r="E26" i="2"/>
  <c r="D27" i="2"/>
  <c r="E27" i="2"/>
  <c r="D28" i="2"/>
  <c r="E28" i="2"/>
  <c r="D29" i="2"/>
  <c r="E29" i="2"/>
  <c r="D30" i="2"/>
  <c r="E30" i="2"/>
  <c r="D31" i="2"/>
  <c r="E31" i="2"/>
  <c r="D32" i="2"/>
  <c r="E32" i="2"/>
  <c r="D33" i="2"/>
  <c r="E33" i="2"/>
  <c r="D34" i="2"/>
  <c r="E34" i="2"/>
  <c r="D35" i="2"/>
  <c r="E35" i="2"/>
  <c r="D36" i="2"/>
  <c r="E36" i="2"/>
  <c r="D37" i="2"/>
  <c r="E37" i="2"/>
  <c r="D38" i="2"/>
  <c r="E38" i="2"/>
  <c r="D39" i="2"/>
  <c r="E39" i="2"/>
  <c r="D40" i="2"/>
  <c r="E40" i="2"/>
  <c r="D41" i="2"/>
  <c r="E41" i="2"/>
  <c r="D42" i="2"/>
  <c r="E42" i="2"/>
  <c r="D43" i="2"/>
  <c r="E43" i="2"/>
  <c r="D44" i="2"/>
  <c r="E44" i="2"/>
  <c r="D45" i="2"/>
  <c r="E45" i="2"/>
  <c r="D46" i="2"/>
  <c r="E46" i="2"/>
  <c r="D47" i="2"/>
  <c r="E47" i="2"/>
  <c r="D48" i="2"/>
  <c r="E48" i="2"/>
  <c r="D49" i="2"/>
  <c r="E49" i="2"/>
  <c r="D50" i="2"/>
  <c r="E50" i="2"/>
  <c r="D51" i="2"/>
  <c r="E51" i="2"/>
  <c r="D52" i="2"/>
  <c r="E52" i="2"/>
  <c r="D53" i="2"/>
  <c r="E53" i="2"/>
  <c r="D54" i="2"/>
  <c r="E54" i="2"/>
  <c r="D55" i="2"/>
  <c r="E55" i="2"/>
  <c r="D56" i="2"/>
  <c r="E56" i="2"/>
  <c r="D57" i="2"/>
  <c r="E57" i="2"/>
  <c r="D58" i="2"/>
  <c r="E58" i="2"/>
  <c r="D59" i="2"/>
  <c r="E59" i="2"/>
  <c r="D60" i="2"/>
  <c r="E60" i="2"/>
  <c r="D61" i="2"/>
  <c r="E61" i="2"/>
  <c r="D62" i="2"/>
  <c r="E62" i="2"/>
  <c r="D63" i="2"/>
  <c r="E63" i="2"/>
  <c r="D64" i="2"/>
  <c r="E64" i="2"/>
  <c r="D65" i="2"/>
  <c r="E65" i="2"/>
  <c r="D66" i="2"/>
  <c r="E66" i="2"/>
  <c r="D67" i="2"/>
  <c r="E67" i="2"/>
  <c r="D68" i="2"/>
  <c r="E68" i="2"/>
  <c r="D69" i="2"/>
  <c r="E69" i="2"/>
  <c r="D70" i="2"/>
  <c r="E70" i="2"/>
  <c r="D71" i="2"/>
  <c r="E71" i="2"/>
  <c r="D72" i="2"/>
  <c r="E72" i="2"/>
  <c r="D73" i="2"/>
  <c r="E73" i="2"/>
  <c r="D74" i="2"/>
  <c r="E74" i="2"/>
  <c r="D75" i="2"/>
  <c r="E75" i="2"/>
  <c r="D76" i="2"/>
  <c r="E76" i="2"/>
  <c r="D77" i="2"/>
  <c r="E77" i="2"/>
  <c r="D78" i="2"/>
  <c r="E78" i="2"/>
  <c r="D79" i="2"/>
  <c r="E79" i="2"/>
  <c r="D80" i="2"/>
  <c r="E80" i="2"/>
  <c r="D81" i="2"/>
  <c r="E81" i="2"/>
  <c r="D82" i="2"/>
  <c r="E82" i="2"/>
  <c r="D83" i="2"/>
  <c r="E83" i="2"/>
  <c r="D84" i="2"/>
  <c r="E84" i="2"/>
  <c r="D85" i="2"/>
  <c r="E85" i="2"/>
  <c r="D86" i="2"/>
  <c r="E86" i="2"/>
  <c r="D87" i="2"/>
  <c r="E87" i="2"/>
  <c r="D88" i="2"/>
  <c r="E88" i="2"/>
  <c r="D89" i="2"/>
  <c r="E89" i="2"/>
  <c r="D90" i="2"/>
  <c r="E90" i="2"/>
  <c r="D91" i="2"/>
  <c r="E91" i="2"/>
  <c r="D92" i="2"/>
  <c r="E92" i="2"/>
  <c r="D93" i="2"/>
  <c r="E93" i="2"/>
  <c r="D94" i="2"/>
  <c r="E94" i="2"/>
  <c r="D95" i="2"/>
  <c r="E95" i="2"/>
  <c r="D96" i="2"/>
  <c r="E96" i="2"/>
  <c r="D97" i="2"/>
  <c r="E97" i="2"/>
  <c r="D98" i="2"/>
  <c r="E98" i="2"/>
  <c r="D99" i="2"/>
  <c r="E99" i="2"/>
  <c r="D100" i="2"/>
  <c r="E100" i="2"/>
  <c r="D101" i="2"/>
  <c r="E101" i="2"/>
  <c r="D102" i="2"/>
  <c r="E102" i="2"/>
  <c r="D103" i="2"/>
  <c r="E103" i="2"/>
  <c r="D104" i="2"/>
  <c r="E104" i="2"/>
  <c r="D105" i="2"/>
  <c r="E105" i="2"/>
  <c r="D106" i="2"/>
  <c r="E106" i="2"/>
  <c r="D107" i="2"/>
  <c r="E107" i="2"/>
  <c r="D108" i="2"/>
  <c r="E108" i="2"/>
  <c r="D109" i="2"/>
  <c r="E109" i="2"/>
  <c r="D110" i="2"/>
  <c r="E110" i="2"/>
  <c r="D111" i="2"/>
  <c r="E111" i="2"/>
  <c r="D112" i="2"/>
  <c r="E112" i="2"/>
  <c r="D113" i="2"/>
  <c r="E113" i="2"/>
  <c r="D114" i="2"/>
  <c r="E114" i="2"/>
  <c r="D115" i="2"/>
  <c r="E115" i="2"/>
  <c r="D116" i="2"/>
  <c r="E116" i="2"/>
  <c r="D117" i="2"/>
  <c r="E117" i="2"/>
  <c r="D118" i="2"/>
  <c r="E118" i="2"/>
  <c r="D119" i="2"/>
  <c r="E119" i="2"/>
  <c r="D120" i="2"/>
  <c r="E120" i="2"/>
  <c r="D121" i="2"/>
  <c r="E121" i="2"/>
  <c r="D122" i="2"/>
  <c r="E122" i="2"/>
  <c r="D123" i="2"/>
  <c r="E123" i="2"/>
  <c r="D124" i="2"/>
  <c r="E124" i="2"/>
  <c r="D125" i="2"/>
  <c r="E125" i="2"/>
  <c r="D126" i="2"/>
  <c r="E126" i="2"/>
  <c r="D127" i="2"/>
  <c r="E127" i="2"/>
  <c r="D128" i="2"/>
  <c r="E128" i="2"/>
  <c r="D129" i="2"/>
  <c r="E129" i="2"/>
  <c r="D130" i="2"/>
  <c r="E130" i="2"/>
  <c r="D131" i="2"/>
  <c r="E131" i="2"/>
  <c r="D132" i="2"/>
  <c r="E132" i="2"/>
  <c r="D133" i="2"/>
  <c r="E133" i="2"/>
  <c r="D134" i="2"/>
  <c r="E134" i="2"/>
  <c r="D135" i="2"/>
  <c r="E135" i="2"/>
  <c r="D136" i="2"/>
  <c r="E136" i="2"/>
  <c r="D137" i="2"/>
  <c r="E137" i="2"/>
  <c r="D138" i="2"/>
  <c r="E138" i="2"/>
  <c r="D139" i="2"/>
  <c r="E139" i="2"/>
  <c r="D140" i="2"/>
  <c r="E140" i="2"/>
  <c r="D141" i="2"/>
  <c r="E141" i="2"/>
  <c r="D142" i="2"/>
  <c r="E142" i="2"/>
  <c r="D143" i="2"/>
  <c r="E143" i="2"/>
  <c r="D144" i="2"/>
  <c r="E144" i="2"/>
  <c r="D145" i="2"/>
  <c r="E145" i="2"/>
  <c r="D146" i="2"/>
  <c r="E146" i="2"/>
  <c r="D147" i="2"/>
  <c r="E147" i="2"/>
  <c r="D148" i="2"/>
  <c r="E148" i="2"/>
  <c r="D149" i="2"/>
  <c r="E149" i="2"/>
  <c r="D150" i="2"/>
  <c r="E150" i="2"/>
  <c r="D151" i="2"/>
  <c r="E151" i="2"/>
  <c r="D152" i="2"/>
  <c r="E152" i="2"/>
  <c r="D153" i="2"/>
  <c r="E153" i="2"/>
  <c r="D154" i="2"/>
  <c r="E154" i="2"/>
  <c r="D155" i="2"/>
  <c r="E155" i="2"/>
  <c r="D156" i="2"/>
  <c r="E156" i="2"/>
  <c r="D157" i="2"/>
  <c r="E157" i="2"/>
  <c r="D158" i="2"/>
  <c r="E158" i="2"/>
  <c r="D159" i="2"/>
  <c r="E159" i="2"/>
  <c r="D160" i="2"/>
  <c r="E160" i="2"/>
  <c r="D161" i="2"/>
  <c r="E161" i="2"/>
  <c r="D162" i="2"/>
  <c r="E162" i="2"/>
  <c r="D163" i="2"/>
  <c r="E163" i="2"/>
  <c r="D164" i="2"/>
  <c r="E164" i="2"/>
  <c r="D165" i="2"/>
  <c r="E165" i="2"/>
  <c r="D166" i="2"/>
  <c r="E166" i="2"/>
  <c r="D167" i="2"/>
  <c r="E167" i="2"/>
  <c r="D168" i="2"/>
  <c r="E168" i="2"/>
  <c r="D169" i="2"/>
  <c r="E169" i="2"/>
  <c r="D170" i="2"/>
  <c r="E170" i="2"/>
  <c r="D171" i="2"/>
  <c r="E171" i="2"/>
  <c r="D172" i="2"/>
  <c r="E172" i="2"/>
  <c r="D173" i="2"/>
  <c r="E173" i="2"/>
  <c r="D174" i="2"/>
  <c r="E174" i="2"/>
  <c r="D175" i="2"/>
  <c r="E175" i="2"/>
  <c r="D176" i="2"/>
  <c r="E176" i="2"/>
  <c r="D177" i="2"/>
  <c r="E177" i="2"/>
  <c r="D178" i="2"/>
  <c r="E178" i="2"/>
  <c r="D179" i="2"/>
  <c r="E179" i="2"/>
  <c r="D180" i="2"/>
  <c r="E180" i="2"/>
  <c r="D181" i="2"/>
  <c r="E181" i="2"/>
  <c r="D182" i="2"/>
  <c r="E182" i="2"/>
  <c r="D183" i="2"/>
  <c r="E183" i="2"/>
  <c r="D184" i="2"/>
  <c r="E184" i="2"/>
  <c r="D185" i="2"/>
  <c r="E185" i="2"/>
  <c r="D186" i="2"/>
  <c r="E186" i="2"/>
  <c r="D187" i="2"/>
  <c r="E187" i="2"/>
  <c r="D188" i="2"/>
  <c r="E188" i="2"/>
  <c r="D189" i="2"/>
  <c r="E189" i="2"/>
  <c r="D190" i="2"/>
  <c r="E190" i="2"/>
  <c r="D191" i="2"/>
  <c r="E191" i="2"/>
  <c r="D192" i="2"/>
  <c r="E192" i="2"/>
  <c r="D193" i="2"/>
  <c r="E193" i="2"/>
  <c r="D194" i="2"/>
  <c r="E194" i="2"/>
  <c r="D195" i="2"/>
  <c r="E195" i="2"/>
  <c r="D196" i="2"/>
  <c r="E196" i="2"/>
  <c r="D197" i="2"/>
  <c r="E197" i="2"/>
  <c r="D198" i="2"/>
  <c r="E198" i="2"/>
  <c r="D199" i="2"/>
  <c r="E199" i="2"/>
  <c r="D200" i="2"/>
  <c r="E200" i="2"/>
  <c r="D201" i="2"/>
  <c r="E201" i="2"/>
  <c r="D202" i="2"/>
  <c r="E202" i="2"/>
  <c r="D203" i="2"/>
  <c r="E203" i="2"/>
  <c r="D204" i="2"/>
  <c r="E204" i="2"/>
  <c r="D205" i="2"/>
  <c r="E205" i="2"/>
  <c r="D206" i="2"/>
  <c r="E206" i="2"/>
  <c r="D207" i="2"/>
  <c r="E207" i="2"/>
  <c r="D208" i="2"/>
  <c r="E208" i="2"/>
  <c r="D209" i="2"/>
  <c r="E209" i="2"/>
  <c r="D210" i="2"/>
  <c r="E210" i="2"/>
  <c r="D211" i="2"/>
  <c r="E211" i="2"/>
  <c r="D212" i="2"/>
  <c r="E212" i="2"/>
  <c r="D213" i="2"/>
  <c r="E213" i="2"/>
  <c r="D214" i="2"/>
  <c r="E214" i="2"/>
  <c r="D215" i="2"/>
  <c r="E215" i="2"/>
  <c r="D216" i="2"/>
  <c r="E216" i="2"/>
  <c r="D217" i="2"/>
  <c r="E217" i="2"/>
  <c r="D218" i="2"/>
  <c r="E218" i="2"/>
  <c r="D219" i="2"/>
  <c r="E219" i="2"/>
  <c r="D220" i="2"/>
  <c r="E220" i="2"/>
  <c r="D221" i="2"/>
  <c r="E221" i="2"/>
  <c r="D222" i="2"/>
  <c r="E222" i="2"/>
  <c r="D223" i="2"/>
  <c r="E223" i="2"/>
  <c r="D224" i="2"/>
  <c r="E224" i="2"/>
  <c r="D225" i="2"/>
  <c r="E225" i="2"/>
  <c r="D226" i="2"/>
  <c r="E226" i="2"/>
  <c r="D227" i="2"/>
  <c r="E227" i="2"/>
  <c r="D228" i="2"/>
  <c r="E228" i="2"/>
  <c r="D229" i="2"/>
  <c r="E229" i="2"/>
  <c r="D230" i="2"/>
  <c r="E230" i="2"/>
  <c r="D231" i="2"/>
  <c r="E231" i="2"/>
  <c r="D232" i="2"/>
  <c r="E232" i="2"/>
  <c r="D233" i="2"/>
  <c r="E233" i="2"/>
  <c r="D234" i="2"/>
  <c r="E234" i="2"/>
  <c r="D235" i="2"/>
  <c r="E235" i="2"/>
  <c r="D236" i="2"/>
  <c r="E236" i="2"/>
  <c r="D237" i="2"/>
  <c r="E237" i="2"/>
  <c r="D238" i="2"/>
  <c r="E238" i="2"/>
  <c r="D239" i="2"/>
  <c r="E239" i="2"/>
  <c r="D240" i="2"/>
  <c r="E240" i="2"/>
  <c r="D241" i="2"/>
  <c r="E241" i="2"/>
  <c r="D242" i="2"/>
  <c r="E242" i="2"/>
  <c r="D243" i="2"/>
  <c r="E243" i="2"/>
  <c r="D244" i="2"/>
  <c r="E244" i="2"/>
  <c r="D245" i="2"/>
  <c r="E245" i="2"/>
  <c r="D246" i="2"/>
  <c r="E246" i="2"/>
  <c r="D247" i="2"/>
  <c r="E247" i="2"/>
  <c r="D248" i="2"/>
  <c r="E248" i="2"/>
  <c r="D249" i="2"/>
  <c r="E249" i="2"/>
  <c r="D250" i="2"/>
  <c r="E250" i="2"/>
  <c r="D251" i="2"/>
  <c r="E251" i="2"/>
  <c r="D252" i="2"/>
  <c r="E252" i="2"/>
  <c r="D253" i="2"/>
  <c r="E253" i="2"/>
  <c r="D254" i="2"/>
  <c r="E254" i="2"/>
  <c r="D255" i="2"/>
  <c r="E255" i="2"/>
  <c r="D256" i="2"/>
  <c r="E256" i="2"/>
  <c r="D257" i="2"/>
  <c r="E257" i="2"/>
  <c r="D258" i="2"/>
  <c r="E258" i="2"/>
  <c r="D259" i="2"/>
  <c r="E259" i="2"/>
  <c r="D260" i="2"/>
  <c r="E260" i="2"/>
  <c r="D261" i="2"/>
  <c r="E261" i="2"/>
  <c r="D262" i="2"/>
  <c r="E262" i="2"/>
  <c r="D263" i="2"/>
  <c r="E263" i="2"/>
  <c r="D264" i="2"/>
  <c r="E264" i="2"/>
  <c r="D265" i="2"/>
  <c r="E265" i="2"/>
  <c r="D266" i="2"/>
  <c r="E266" i="2"/>
  <c r="D267" i="2"/>
  <c r="E267" i="2"/>
  <c r="D268" i="2"/>
  <c r="E268" i="2"/>
  <c r="D269" i="2"/>
  <c r="E269" i="2"/>
  <c r="D270" i="2"/>
  <c r="E270" i="2"/>
  <c r="D271" i="2"/>
  <c r="E271" i="2"/>
  <c r="D272" i="2"/>
  <c r="E272" i="2"/>
  <c r="D273" i="2"/>
  <c r="E273" i="2"/>
  <c r="D274" i="2"/>
  <c r="E274" i="2"/>
  <c r="D275" i="2"/>
  <c r="E275" i="2"/>
  <c r="D276" i="2"/>
  <c r="E276" i="2"/>
  <c r="D277" i="2"/>
  <c r="E277" i="2"/>
  <c r="D278" i="2"/>
  <c r="E278" i="2"/>
  <c r="D279" i="2"/>
  <c r="E279" i="2"/>
  <c r="D280" i="2"/>
  <c r="E280" i="2"/>
  <c r="D281" i="2"/>
  <c r="E281" i="2"/>
  <c r="D282" i="2"/>
  <c r="E282" i="2"/>
  <c r="D283" i="2"/>
  <c r="E283" i="2"/>
  <c r="D284" i="2"/>
  <c r="E284" i="2"/>
  <c r="D285" i="2"/>
  <c r="E285" i="2"/>
  <c r="D286" i="2"/>
  <c r="E286" i="2"/>
  <c r="D287" i="2"/>
  <c r="E287" i="2"/>
  <c r="D288" i="2"/>
  <c r="E288" i="2"/>
  <c r="D289" i="2"/>
  <c r="E289" i="2"/>
  <c r="D290" i="2"/>
  <c r="E290" i="2"/>
  <c r="D291" i="2"/>
  <c r="E291" i="2"/>
  <c r="D292" i="2"/>
  <c r="E292" i="2"/>
  <c r="D293" i="2"/>
  <c r="E293" i="2"/>
  <c r="D294" i="2"/>
  <c r="E294" i="2"/>
  <c r="D295" i="2"/>
  <c r="E295" i="2"/>
  <c r="D296" i="2"/>
  <c r="E296" i="2"/>
  <c r="D297" i="2"/>
  <c r="E297" i="2"/>
  <c r="D298" i="2"/>
  <c r="E298" i="2"/>
  <c r="D299" i="2"/>
  <c r="E299" i="2"/>
  <c r="D300" i="2"/>
  <c r="E300" i="2"/>
  <c r="D301" i="2"/>
  <c r="E301" i="2"/>
  <c r="D302" i="2"/>
  <c r="E302" i="2"/>
  <c r="D303" i="2"/>
  <c r="E303" i="2"/>
  <c r="D304" i="2"/>
  <c r="E304" i="2"/>
  <c r="D305" i="2"/>
  <c r="E305" i="2"/>
  <c r="D306" i="2"/>
  <c r="E306" i="2"/>
  <c r="D307" i="2"/>
  <c r="E307" i="2"/>
  <c r="D308" i="2"/>
  <c r="E308" i="2"/>
  <c r="D309" i="2"/>
  <c r="E309" i="2"/>
  <c r="D310" i="2"/>
  <c r="E310" i="2"/>
  <c r="D311" i="2"/>
  <c r="E311" i="2"/>
  <c r="D312" i="2"/>
  <c r="E312" i="2"/>
  <c r="D313" i="2"/>
  <c r="E313" i="2"/>
  <c r="D314" i="2"/>
  <c r="E314" i="2"/>
  <c r="D315" i="2"/>
  <c r="E315" i="2"/>
  <c r="D316" i="2"/>
  <c r="E316" i="2"/>
  <c r="D317" i="2"/>
  <c r="E317" i="2"/>
  <c r="D318" i="2"/>
  <c r="E318" i="2"/>
  <c r="D319" i="2"/>
  <c r="E319" i="2"/>
  <c r="D320" i="2"/>
  <c r="E320" i="2"/>
  <c r="D321" i="2"/>
  <c r="E321" i="2"/>
  <c r="D322" i="2"/>
  <c r="E322" i="2"/>
  <c r="D323" i="2"/>
  <c r="E323" i="2"/>
  <c r="D324" i="2"/>
  <c r="E324" i="2"/>
  <c r="D325" i="2"/>
  <c r="E325" i="2"/>
  <c r="D326" i="2"/>
  <c r="E326" i="2"/>
  <c r="D327" i="2"/>
  <c r="E327" i="2"/>
  <c r="D328" i="2"/>
  <c r="E328" i="2"/>
  <c r="D329" i="2"/>
  <c r="E329" i="2"/>
  <c r="D330" i="2"/>
  <c r="E330" i="2"/>
  <c r="D331" i="2"/>
  <c r="E331" i="2"/>
  <c r="D332" i="2"/>
  <c r="E332" i="2"/>
  <c r="D333" i="2"/>
  <c r="E333" i="2"/>
  <c r="D334" i="2"/>
  <c r="E334" i="2"/>
  <c r="D335" i="2"/>
  <c r="E335" i="2"/>
  <c r="D336" i="2"/>
  <c r="E336" i="2"/>
  <c r="D337" i="2"/>
  <c r="E337" i="2"/>
  <c r="D338" i="2"/>
  <c r="E338" i="2"/>
  <c r="D339" i="2"/>
  <c r="E339" i="2"/>
  <c r="D340" i="2"/>
  <c r="E340" i="2"/>
  <c r="D341" i="2"/>
  <c r="E341" i="2"/>
  <c r="D342" i="2"/>
  <c r="E342" i="2"/>
  <c r="D343" i="2"/>
  <c r="E343" i="2"/>
  <c r="D344" i="2"/>
  <c r="E344" i="2"/>
  <c r="D345" i="2"/>
  <c r="E345" i="2"/>
  <c r="D346" i="2"/>
  <c r="E346" i="2"/>
  <c r="D347" i="2"/>
  <c r="E347" i="2"/>
  <c r="D348" i="2"/>
  <c r="E348" i="2"/>
  <c r="D349" i="2"/>
  <c r="E349" i="2"/>
  <c r="D350" i="2"/>
  <c r="E350" i="2"/>
  <c r="D351" i="2"/>
  <c r="E351" i="2"/>
  <c r="D352" i="2"/>
  <c r="E352" i="2"/>
  <c r="D353" i="2"/>
  <c r="E353" i="2"/>
  <c r="D354" i="2"/>
  <c r="E354" i="2"/>
  <c r="D355" i="2"/>
  <c r="E355" i="2"/>
  <c r="D356" i="2"/>
  <c r="E356" i="2"/>
  <c r="D357" i="2"/>
  <c r="E357" i="2"/>
  <c r="D358" i="2"/>
  <c r="E358" i="2"/>
  <c r="E6" i="2"/>
  <c r="D6" i="2"/>
</calcChain>
</file>

<file path=xl/sharedStrings.xml><?xml version="1.0" encoding="utf-8"?>
<sst xmlns="http://schemas.openxmlformats.org/spreadsheetml/2006/main" count="1478" uniqueCount="228">
  <si>
    <t>Note</t>
  </si>
  <si>
    <t>1:1 Setup Data not tracked</t>
  </si>
  <si>
    <t>This data contains duplications due to recurring meetings that is set, due to which multiple meetings are set with one employee, but documentation on Lattice is not done, so that is not counted as utilizing lattice for 1:1s.</t>
  </si>
  <si>
    <t>1:1 Participation Data Tracked</t>
  </si>
  <si>
    <t xml:space="preserve">This report considers only actual 1:1 participation </t>
  </si>
  <si>
    <t>Headcount v/s Participation % (HRBP Level)</t>
  </si>
  <si>
    <t>The participation percentage is calculated based on the HRBP's total headcount compared to the number of employees who actively participated in 1:1 meetings.</t>
  </si>
  <si>
    <t>Headcount v/s Participation % (Functional Head Level)</t>
  </si>
  <si>
    <t>This analysis compares the participation percentage based on the functional head’s total headcount versus the number of participants in 1:1s.</t>
  </si>
  <si>
    <t>Headcount v/s Participation % (Director Level)</t>
  </si>
  <si>
    <t>This analysis compares the participation percentage based on the director’s total headcount versus the number of participants in 1:1s.</t>
  </si>
  <si>
    <t>Headcount v/s Participation % (Manager Level)</t>
  </si>
  <si>
    <t>This analysis compares the participation percentage based on the manager’s total headcount versus the number of participants in 1:1s.</t>
  </si>
  <si>
    <t>1:1s Participated with Manager Final</t>
  </si>
  <si>
    <t>Refers to the number of team members who have had 1:1 either once or multiple times</t>
  </si>
  <si>
    <t>Data Source</t>
  </si>
  <si>
    <t>Extracted from Lattice, reflecting only completed 1:1 meetings for the month of Feb 2026</t>
  </si>
  <si>
    <t>HRBP</t>
  </si>
  <si>
    <t>(All)</t>
  </si>
  <si>
    <t>Director Name</t>
  </si>
  <si>
    <t>Functional Head Name</t>
  </si>
  <si>
    <t>Manager Name</t>
  </si>
  <si>
    <t>Headcount</t>
  </si>
  <si>
    <t>Sum of 1:1s Participated with Manager Final</t>
  </si>
  <si>
    <t>Total users not utilising lattice</t>
  </si>
  <si>
    <t>Utilization %</t>
  </si>
  <si>
    <t>Abhinav Chourasia</t>
  </si>
  <si>
    <t>Aravind Krishna S</t>
  </si>
  <si>
    <t>Bala Subramanian</t>
  </si>
  <si>
    <t>Balaji J</t>
  </si>
  <si>
    <t>Budde Prashanth</t>
  </si>
  <si>
    <t>C Sricharan</t>
  </si>
  <si>
    <t>Chandrasekar Samarapuri</t>
  </si>
  <si>
    <t>Dharmadurai Mahadevan</t>
  </si>
  <si>
    <t>Jagadeesh Pacha</t>
  </si>
  <si>
    <t>Janardhan Naik</t>
  </si>
  <si>
    <t>Jay Venkatraman</t>
  </si>
  <si>
    <t>Jeya Kumar R</t>
  </si>
  <si>
    <t>Jeyanthinath Muthuram P</t>
  </si>
  <si>
    <t>Josh Bouse</t>
  </si>
  <si>
    <t>Kapileshwar Punna</t>
  </si>
  <si>
    <t>Kiruthika Natarajan</t>
  </si>
  <si>
    <t>Kunal Bhattacharya</t>
  </si>
  <si>
    <t>Mahadeer Mohamed</t>
  </si>
  <si>
    <t>Mahesh Kumar Kanagasabapathy Rajagopal</t>
  </si>
  <si>
    <t>Manikanda Sankar Ramasamy</t>
  </si>
  <si>
    <t>Manohar V</t>
  </si>
  <si>
    <t>Michael Rackmann M</t>
  </si>
  <si>
    <t>Nagalakshmi Vadlamani</t>
  </si>
  <si>
    <t>Nagendra Pratap Yadav</t>
  </si>
  <si>
    <t>Prabakaran Balasubramaniam</t>
  </si>
  <si>
    <t>Prakash Ravindran</t>
  </si>
  <si>
    <t>Raj Mohan Jayakumar</t>
  </si>
  <si>
    <t>Raja Anandan</t>
  </si>
  <si>
    <t>Rajavijayan Raja</t>
  </si>
  <si>
    <t>Ramesh Sarabu</t>
  </si>
  <si>
    <t>Ramji B S</t>
  </si>
  <si>
    <t>Siva M S</t>
  </si>
  <si>
    <t>Sivaraman Manian</t>
  </si>
  <si>
    <t>Sivasubramaniam Chandravelu</t>
  </si>
  <si>
    <t>Srinivas Lingutla</t>
  </si>
  <si>
    <t>Srinivasan Saravanan</t>
  </si>
  <si>
    <t>Sundari Samuthirapandi</t>
  </si>
  <si>
    <t>Surendar V G</t>
  </si>
  <si>
    <t>Thilakgowtham T N</t>
  </si>
  <si>
    <t>Thiyagu Kothandan</t>
  </si>
  <si>
    <t>Varun M S</t>
  </si>
  <si>
    <t>Velmurugan Dhanigaivel</t>
  </si>
  <si>
    <t>Venkat Yennam</t>
  </si>
  <si>
    <t>Vigneshwar Nellaiyappan</t>
  </si>
  <si>
    <t>Vijay Kumar</t>
  </si>
  <si>
    <t>Grand Total</t>
  </si>
  <si>
    <t>Srividya</t>
  </si>
  <si>
    <t>Period Start</t>
  </si>
  <si>
    <t>Period End</t>
  </si>
  <si>
    <t>Preferred full name</t>
  </si>
  <si>
    <t>Department</t>
  </si>
  <si>
    <t>Role</t>
  </si>
  <si>
    <t>1:1s Participated with Manager</t>
  </si>
  <si>
    <t>1:1s Set Up with Manager</t>
  </si>
  <si>
    <t>02/28/2026</t>
  </si>
  <si>
    <t>Engineering</t>
  </si>
  <si>
    <t>manager</t>
  </si>
  <si>
    <t>Product Management</t>
  </si>
  <si>
    <t>ic</t>
  </si>
  <si>
    <t>S Karthick</t>
  </si>
  <si>
    <t>Teza Mukkavilli</t>
  </si>
  <si>
    <t>Vishnu Charan Gali</t>
  </si>
  <si>
    <t>Jay Swaminathan</t>
  </si>
  <si>
    <t>Naveena P</t>
  </si>
  <si>
    <t>Suhail Rahman</t>
  </si>
  <si>
    <t>IT</t>
  </si>
  <si>
    <t>Deenan Ravindra</t>
  </si>
  <si>
    <t>Prasanna O</t>
  </si>
  <si>
    <t>Ambiga Devi M A</t>
  </si>
  <si>
    <t>Rajavelan V</t>
  </si>
  <si>
    <t>Nidin S</t>
  </si>
  <si>
    <t>Prakash Krishnamurthy</t>
  </si>
  <si>
    <t>Hariharan S</t>
  </si>
  <si>
    <t>Tamizh Selvan Sadasivam</t>
  </si>
  <si>
    <t>Saami .</t>
  </si>
  <si>
    <t>Narendran Kannadhasan</t>
  </si>
  <si>
    <t>Priyal Viroja</t>
  </si>
  <si>
    <t>Project Management Office</t>
  </si>
  <si>
    <t>Ezhil Saravanan T</t>
  </si>
  <si>
    <t>Sameer Srivastava</t>
  </si>
  <si>
    <t>Ragunath Rajendran</t>
  </si>
  <si>
    <t>Padma Kypu</t>
  </si>
  <si>
    <t>Santhosh K V</t>
  </si>
  <si>
    <t>Rachit Shrivastava</t>
  </si>
  <si>
    <t>Deepankumar V</t>
  </si>
  <si>
    <t>Janani G</t>
  </si>
  <si>
    <t>Kader Oli Meeran Darvaze Mydeen</t>
  </si>
  <si>
    <t>Sathish Kumar</t>
  </si>
  <si>
    <t>Arunkumar S</t>
  </si>
  <si>
    <t>Harish Nanthan S</t>
  </si>
  <si>
    <t>Jeya Seelan S</t>
  </si>
  <si>
    <t>Anantha Krishnan M</t>
  </si>
  <si>
    <t>Mohamed Afzal</t>
  </si>
  <si>
    <t>Shanmuga Priya  M</t>
  </si>
  <si>
    <t>Abhilash Reddy Ponnapati</t>
  </si>
  <si>
    <t>Praveen S</t>
  </si>
  <si>
    <t>Chellapilla Vamsee Mehar</t>
  </si>
  <si>
    <t>Suresh Challa</t>
  </si>
  <si>
    <t>Harish Raghavendher V</t>
  </si>
  <si>
    <t>Sebastin Richard J</t>
  </si>
  <si>
    <t>DineshKumar S</t>
  </si>
  <si>
    <t>Sanjeevi S</t>
  </si>
  <si>
    <t>Maharashi M S</t>
  </si>
  <si>
    <t>Manikandan Ramakrishnan</t>
  </si>
  <si>
    <t>M Ranjitha</t>
  </si>
  <si>
    <t>S Aiswarya Ragavi</t>
  </si>
  <si>
    <t>Naveen U</t>
  </si>
  <si>
    <t>L G Krishna</t>
  </si>
  <si>
    <t>Sinuf Ahamed</t>
  </si>
  <si>
    <t>Praveen G</t>
  </si>
  <si>
    <t>Gayathree Tamil Selvan</t>
  </si>
  <si>
    <t>Sathish S</t>
  </si>
  <si>
    <t>Santosh C R</t>
  </si>
  <si>
    <t>Gopinath V</t>
  </si>
  <si>
    <t>Gowtham Sarveswaran</t>
  </si>
  <si>
    <t>Shalini Sakthivel</t>
  </si>
  <si>
    <t>Jaimon Varghese</t>
  </si>
  <si>
    <t>Pradeep Kumar</t>
  </si>
  <si>
    <t>Priyadharshini Padmanaban</t>
  </si>
  <si>
    <t>Ramasamy S</t>
  </si>
  <si>
    <t>Sasikumar A S</t>
  </si>
  <si>
    <t>Adhithya R</t>
  </si>
  <si>
    <t>Raj Narayanan</t>
  </si>
  <si>
    <t>Mohammed Nishad M</t>
  </si>
  <si>
    <t>Sudhagar Subakarnan</t>
  </si>
  <si>
    <t>Ajaykrishna S</t>
  </si>
  <si>
    <t>Naveen Kumar</t>
  </si>
  <si>
    <t>Srinithi S</t>
  </si>
  <si>
    <t>Raghu Mani</t>
  </si>
  <si>
    <t>Kiruthiga P</t>
  </si>
  <si>
    <t>Muthu Balasubramanian P</t>
  </si>
  <si>
    <t>Sahil Poonia</t>
  </si>
  <si>
    <t>P Ganga Prasad</t>
  </si>
  <si>
    <t>Ajin Piones</t>
  </si>
  <si>
    <t>Aravind R</t>
  </si>
  <si>
    <t>Balaji Raja</t>
  </si>
  <si>
    <t>Padmapriya V</t>
  </si>
  <si>
    <t>Praveen Kumar</t>
  </si>
  <si>
    <t>Soma Sundaram M</t>
  </si>
  <si>
    <t>Poongothai Sampath</t>
  </si>
  <si>
    <t>Bharathi Raja Senthuraman</t>
  </si>
  <si>
    <t>Muruga Priya S</t>
  </si>
  <si>
    <t>Keerthikumaran A</t>
  </si>
  <si>
    <t>Karthikeyan M</t>
  </si>
  <si>
    <t>Mohith Bejjala</t>
  </si>
  <si>
    <t>Jagan Kumar</t>
  </si>
  <si>
    <t>Bharath Narayan</t>
  </si>
  <si>
    <t>G J Rajan</t>
  </si>
  <si>
    <t>Aravind C V</t>
  </si>
  <si>
    <t>Technology</t>
  </si>
  <si>
    <t>Iswarya Senthilvel</t>
  </si>
  <si>
    <t>Sonali Chaudhary</t>
  </si>
  <si>
    <t>Madanraj R</t>
  </si>
  <si>
    <t>Gowtham Murugesan</t>
  </si>
  <si>
    <t>Prasanna Krishna Sai Ambati</t>
  </si>
  <si>
    <t>Bhaskar Nedumaran</t>
  </si>
  <si>
    <t>Abishek S</t>
  </si>
  <si>
    <t>Abinaya Karthikeyan</t>
  </si>
  <si>
    <t>Vijaymani N</t>
  </si>
  <si>
    <t>Marisankar M</t>
  </si>
  <si>
    <t>Aravindh Radhakrishnan</t>
  </si>
  <si>
    <t>Sanjay Kumar S</t>
  </si>
  <si>
    <t>Vishnu A</t>
  </si>
  <si>
    <t>V Jayabarathi</t>
  </si>
  <si>
    <t>Kumaran C</t>
  </si>
  <si>
    <t>Jeeva J</t>
  </si>
  <si>
    <t>Polu Karthik Kumar</t>
  </si>
  <si>
    <t>Abhishek C P</t>
  </si>
  <si>
    <t>Sabarish Kannaa</t>
  </si>
  <si>
    <t>Shalini A</t>
  </si>
  <si>
    <t>Bhavesh Kalyanbhai Vaghasiya</t>
  </si>
  <si>
    <t>E Manohar</t>
  </si>
  <si>
    <t>Raguram Shanmugam</t>
  </si>
  <si>
    <t>Vijay Prasanth V</t>
  </si>
  <si>
    <t>Karthikeyani N</t>
  </si>
  <si>
    <t>Vikram Krishnan</t>
  </si>
  <si>
    <t>Nithishkumar R</t>
  </si>
  <si>
    <t>Bharathkumar S</t>
  </si>
  <si>
    <t>Vinoth Namachivayam</t>
  </si>
  <si>
    <t>Neeraj V</t>
  </si>
  <si>
    <t>Abid Aziz</t>
  </si>
  <si>
    <t>Athul Krishna</t>
  </si>
  <si>
    <t>Subramaniya Nivash</t>
  </si>
  <si>
    <t>Magesh Adithya</t>
  </si>
  <si>
    <t>Chethan C</t>
  </si>
  <si>
    <t>Bharathi Kannan Thiyagarajan</t>
  </si>
  <si>
    <t>Adamya Agnihotri</t>
  </si>
  <si>
    <t>Chandrasekaran G</t>
  </si>
  <si>
    <t>Thiyagarajan Palanivel</t>
  </si>
  <si>
    <t>Meenakshi Devaraj</t>
  </si>
  <si>
    <t>Meganathan V</t>
  </si>
  <si>
    <t>Dadly Berin</t>
  </si>
  <si>
    <t>Sountherya M</t>
  </si>
  <si>
    <t>Subash .</t>
  </si>
  <si>
    <t>Santhosh Kasiviswanathan</t>
  </si>
  <si>
    <t>Gopi Senthil Kumaran</t>
  </si>
  <si>
    <t>Nithin K</t>
  </si>
  <si>
    <t>Vijay Kumar S</t>
  </si>
  <si>
    <t>Satyendra Kumar</t>
  </si>
  <si>
    <t>Saravanan S R</t>
  </si>
  <si>
    <t>Vignesh Murugan</t>
  </si>
  <si>
    <t>Abhishek Nikam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</si>
</sst>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rgb="FF002060"/>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4" fontId="0" fillId="0" borderId="0" xfId="0" applyNumberFormat="1"/>
    <xf numFmtId="0" fontId="16" fillId="33" borderId="10" xfId="0" applyFont="1" applyFill="1" applyBorder="1" applyAlignment="1">
      <alignment horizontal="center" vertical="center"/>
    </xf>
    <xf numFmtId="0" fontId="0" fillId="0" borderId="10" xfId="0" applyBorder="1" applyAlignment="1">
      <alignment horizontal="center"/>
    </xf>
    <xf numFmtId="1" fontId="0" fillId="0" borderId="10" xfId="0" applyNumberFormat="1" applyBorder="1" applyAlignment="1">
      <alignment horizontal="center"/>
    </xf>
    <xf numFmtId="0" fontId="0" fillId="0" borderId="10" xfId="0" applyBorder="1"/>
    <xf numFmtId="0" fontId="0" fillId="0" borderId="10" xfId="0" pivotButton="1" applyBorder="1" applyAlignment="1">
      <alignment horizontal="center"/>
    </xf>
    <xf numFmtId="0" fontId="16" fillId="0" borderId="10" xfId="0" applyFont="1" applyBorder="1" applyAlignment="1">
      <alignment horizontal="left" vertical="center"/>
    </xf>
    <xf numFmtId="0" fontId="0" fillId="0" borderId="12" xfId="0" applyBorder="1" applyAlignment="1">
      <alignment horizontal="center"/>
    </xf>
    <xf numFmtId="0" fontId="13" fillId="34" borderId="11" xfId="0" applyFont="1" applyFill="1" applyBorder="1" applyAlignment="1">
      <alignment horizontal="center"/>
    </xf>
    <xf numFmtId="0" fontId="0" fillId="0" borderId="10" xfId="0" applyNumberFormat="1" applyBorder="1" applyAlignment="1">
      <alignment horizontal="center"/>
    </xf>
    <xf numFmtId="0" fontId="0" fillId="0" borderId="12" xfId="0" applyNumberFormat="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2">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i Vidya Ramakrishnan" refreshedDate="46086.455464004626" createdVersion="8" refreshedVersion="8" minRefreshableVersion="3" recordCount="174" xr:uid="{BB93FA1C-F658-4637-A8A9-09C8B251A82C}">
  <cacheSource type="worksheet">
    <worksheetSource ref="A1:L175" sheet="Master Report"/>
  </cacheSource>
  <cacheFields count="31">
    <cacheField name="Period Start" numFmtId="14">
      <sharedItems containsSemiMixedTypes="0" containsNonDate="0" containsDate="1" containsString="0" minDate="2026-01-02T00:00:00" maxDate="2026-01-03T00:00:00"/>
    </cacheField>
    <cacheField name="Period End" numFmtId="0">
      <sharedItems/>
    </cacheField>
    <cacheField name="Preferred full name" numFmtId="0">
      <sharedItems/>
    </cacheField>
    <cacheField name="Preferred last name" numFmtId="0">
      <sharedItems/>
    </cacheField>
    <cacheField name="Preferred first name" numFmtId="0">
      <sharedItems/>
    </cacheField>
    <cacheField name="Time zone" numFmtId="0">
      <sharedItems containsBlank="1"/>
    </cacheField>
    <cacheField name="System access" numFmtId="0">
      <sharedItems/>
    </cacheField>
    <cacheField name="Pronouns" numFmtId="0">
      <sharedItems containsBlank="1"/>
    </cacheField>
    <cacheField name="Country" numFmtId="0">
      <sharedItems/>
    </cacheField>
    <cacheField name="Work email" numFmtId="0">
      <sharedItems/>
    </cacheField>
    <cacheField name="Start date" numFmtId="15">
      <sharedItems containsSemiMixedTypes="0" containsNonDate="0" containsDate="1" containsString="0" minDate="2018-04-16T00:00:00" maxDate="2026-02-06T00:00:00"/>
    </cacheField>
    <cacheField name="Tenure" numFmtId="0">
      <sharedItems containsSemiMixedTypes="0" containsString="0" containsNumber="1" minValue="0.06" maxValue="7.87"/>
    </cacheField>
    <cacheField name="Job title" numFmtId="0">
      <sharedItems/>
    </cacheField>
    <cacheField name="Job function" numFmtId="0">
      <sharedItems/>
    </cacheField>
    <cacheField name="Job level" numFmtId="0">
      <sharedItems/>
    </cacheField>
    <cacheField name="Job type" numFmtId="0">
      <sharedItems/>
    </cacheField>
    <cacheField name="Job effective at" numFmtId="0">
      <sharedItems containsDate="1" containsMixedTypes="1" minDate="2024-04-10T00:00:00" maxDate="2026-12-02T00:00:00"/>
    </cacheField>
    <cacheField name="Manager Name" numFmtId="0">
      <sharedItems count="353">
        <s v="Vigneshwar Nellaiyappan"/>
        <s v="Jay Venkatraman"/>
        <s v="Kiruthika Natarajan"/>
        <s v="Manikanda Sankar Ramasamy"/>
        <s v="Sivasubramaniam Chandravelu"/>
        <s v="Kunal Bhattacharya"/>
        <s v="Srinivas Lingutla"/>
        <s v="Thilakgowtham T N"/>
        <s v="C Sricharan"/>
        <s v="Michael Rackmann M"/>
        <s v="Prakash Ravindran"/>
        <s v="Budde Prashanth"/>
        <s v="Sivaraman Manian"/>
        <s v="Abhinav Chourasia"/>
        <s v="Varun M S"/>
        <s v="Siva M S"/>
        <s v="Jagadeesh Pacha"/>
        <s v="Jeyanthinath Muthuram P"/>
        <s v="Josh Bouse"/>
        <s v="Thiyagu Kothandan"/>
        <s v="Prabakaran Balasubramaniam"/>
        <s v="Srinivasan Saravanan"/>
        <s v="Surendar V G"/>
        <s v="Nagendra Pratap Yadav"/>
        <s v="Venkat Yennam"/>
        <s v="Raj Mohan Jayakumar"/>
        <s v="Rajavijayan Raja"/>
        <s v="Vijay Kumar"/>
        <s v="Ramji B S"/>
        <s v="Ramesh Sarabu"/>
        <s v="Nagalakshmi Vadlamani"/>
        <s v="Janardhan Naik"/>
        <s v="Dharmadurai Mahadevan"/>
        <s v="Balaji J"/>
        <s v="Bala Subramanian"/>
        <s v="Velmurugan Dhanigaivel"/>
        <s v="Mahadeer Mohamed"/>
        <s v="Raja Anandan"/>
        <s v="Jeya Kumar R"/>
        <s v="Sundari Samuthirapandi"/>
        <s v="Kapileshwar Punna"/>
        <s v="Manohar V"/>
        <s v="Chandrasekar Samarapuri"/>
        <s v="Aravind Krishna S"/>
        <s v="Mahesh Kumar Kanagasabapathy Rajagopal"/>
        <s v="Shankar Umamaheshwaran" u="1"/>
        <s v="Hunny Mittal" u="1"/>
        <s v="Arun Gangadhar Achanta" u="1"/>
        <s v="Rishabh Dassani" u="1"/>
        <s v="N S Prasad" u="1"/>
        <s v="D Nawaz Baba" u="1"/>
        <s v="Naresh Bollam" u="1"/>
        <s v="Buhary Moulana Shahib" u="1"/>
        <s v="Shreya Prakash" u="1"/>
        <s v="Pushpam ." u="1"/>
        <s v="Hemant Agarwal" u="1"/>
        <s v="Faheem Ahmad" u="1"/>
        <s v="Ashish Prasad" u="1"/>
        <s v="Aditya Pandey" u="1"/>
        <s v="Nirupam Chakrabarti" u="1"/>
        <s v="Sunil Garg" u="1"/>
        <s v="Sumit Kumar Bansal" u="1"/>
        <s v="Vishal Gupta" u="1"/>
        <s v="Rupesh Bogadapati" u="1"/>
        <s v="Vinod Parvathareddy" u="1"/>
        <s v="Harish Nanjundaiah" u="1"/>
        <s v="Chaitanya Kumar Reddy Thathagari" u="1"/>
        <s v="Saanya Singh" u="1"/>
        <s v="Raj Karthick Manohara Babu" u="1"/>
        <s v="Vishwas Kathrikolli" u="1"/>
        <s v="Prasanta Bhadury" u="1"/>
        <s v="Durgesh Tiwari" u="1"/>
        <s v="Bob Wagoner" u="1"/>
        <s v="Aysha Banu Y" u="1"/>
        <s v="Amit Parpiyani" u="1"/>
        <s v="Venkateswarlu Yerramalli" u="1"/>
        <s v="Ankita Rao" u="1"/>
        <s v="Deepak Chauhan" u="1"/>
        <s v="Pratheesh Premkumar Kamath" u="1"/>
        <s v="Karan Singh" u="1"/>
        <s v="Shruthi Gururaj" u="1"/>
        <s v="Ashish Kumar" u="1"/>
        <s v="Sanyam Agrawal" u="1"/>
        <s v="Yog Prakash" u="1"/>
        <s v="Ujjawal Sharma" u="1"/>
        <s v="Priyansu Singh" u="1"/>
        <s v="Senthilkumar V" u="1"/>
        <s v="Nitesh Goyal" u="1"/>
        <s v="Vejju Jyothi" u="1"/>
        <s v="Baddam Rakesh Reddy" u="1"/>
        <s v="Satyajeet Singh" u="1"/>
        <s v="Raghavendra Pai" u="1"/>
        <s v="Karthikeyan Ponnusamy" u="1"/>
        <s v="Shree Ram Bansal" u="1"/>
        <s v="Santosh Golecha M" u="1"/>
        <s v="Hardik Paharia" u="1"/>
        <s v="Bobby Alexander" u="1"/>
        <s v="Mubarak Mydeen" u="1"/>
        <s v="Dinesh Kumar" u="1"/>
        <s v="Satish Sallakonda" u="1"/>
        <s v="Jay Doshi" u="1"/>
        <s v="Lokesh S" u="1"/>
        <s v="Nandita Parihar" u="1"/>
        <s v="Ankit Upadhyay" u="1"/>
        <s v="Aastha Arora" u="1"/>
        <s v="Surya Gunasekaran" u="1"/>
        <s v="Ketan Dikshit" u="1"/>
        <s v="Avin Jain" u="1"/>
        <s v="Ajithkumar S" u="1"/>
        <s v="Sougata Nair" u="1"/>
        <s v="Mudit Singhal" u="1"/>
        <s v="Gyana Ranjan Satapathy" u="1"/>
        <s v="Komala Kanamarlapudi" u="1"/>
        <s v="Siddharth Gaur" u="1"/>
        <s v="Nitesh Khadanga" u="1"/>
        <s v="Priyanka Sharma" u="1"/>
        <s v="Ankit Jain" u="1"/>
        <s v="Rashmi Prakash" u="1"/>
        <s v="Menka Puthalath" u="1"/>
        <s v="Shubhi Sharma" u="1"/>
        <s v="Trapti Mittal" u="1"/>
        <s v="Damodara Reddy Gosula" u="1"/>
        <s v="Ramamurthy Surya Narayanan" u="1"/>
        <s v="Rahul Mendiratta" u="1"/>
        <s v="Neha Kumari" u="1"/>
        <s v="Akshay Srinivas" u="1"/>
        <s v="Nitish Kumar" u="1"/>
        <s v="Prashanth N V" u="1"/>
        <s v="Shivendra Kumar" u="1"/>
        <s v="Ajay Rao U G" u="1"/>
        <s v="Rishabh Jain" u="1"/>
        <s v="Anirudh Agarwal" u="1"/>
        <s v="Suresh Gopal" u="1"/>
        <s v="Ankit Kumar Singh" u="1"/>
        <s v="Mohammed Faizaan" u="1"/>
        <s v="Naveen S" u="1"/>
        <s v="Syed Ahmad" u="1"/>
        <s v="Manjunatha K P" u="1"/>
        <s v="Sarita Surapaneni" u="1"/>
        <s v="T Balaji" u="1"/>
        <s v="Kuruba Chandrasekhar" u="1"/>
        <s v="Charu Kulshrestha" u="1"/>
        <s v="Abhijith C S" u="1"/>
        <s v="Anamik Adhikary" u="1"/>
        <s v="Subhash Sathyanarayana" u="1"/>
        <s v="Prajesh Kumar" u="1"/>
        <s v="Gunjan Gupta" u="1"/>
        <s v="L Santhosh" u="1"/>
        <s v="Vinay Krishnamurthy" u="1"/>
        <s v="Nitesh Kumar" u="1"/>
        <s v="Michelle Casey" u="1"/>
        <s v="Arjun Rajeev" u="1"/>
        <s v="Samarash Basak" u="1"/>
        <s v="Yash Gupta" u="1"/>
        <s v="Doug Abbott" u="1"/>
        <s v="Shawn Hill" u="1"/>
        <s v="Manish Gangwal" u="1"/>
        <s v="Vaibhav Saini" u="1"/>
        <s v="Sumit Jhajharia" u="1"/>
        <s v="Shyamashree Banerjee" u="1"/>
        <s v="K K Praburaj" u="1"/>
        <s v="Koyeli Dasgupta Negi" u="1"/>
        <s v="Sowmya Mallaiah" u="1"/>
        <s v="Ayush Dash" u="1"/>
        <s v="Rohith M S" u="1"/>
        <s v="Amy Lynn Kuhl" u="1"/>
        <s v="Ron Steck" u="1"/>
        <s v="Karthikeyan Rajaram" u="1"/>
        <s v="Jaymil Koshiya" u="1"/>
        <s v="Gaurav Sharma" u="1"/>
        <s v="Abhinandan S" u="1"/>
        <s v="Karthikeyan Dharmaraj" u="1"/>
        <s v="Soumya Dash" u="1"/>
        <s v="Mahmood Sulaiman Lebbai" u="1"/>
        <s v="Gaurav Shukla" u="1"/>
        <s v="Karthik Dharmavarapu" u="1"/>
        <s v="Gaurav Gupta" u="1"/>
        <s v="Vanitha Sushma" u="1"/>
        <s v="Abhijit Patel" u="1"/>
        <s v="Arun Selvam Kanthavel" u="1"/>
        <s v="Janarthanan Rajan" u="1"/>
        <s v="Vidit Gupta" u="1"/>
        <s v="Jay Vijayan" u="1"/>
        <s v="Pavuluri Naga Satyanarayana" u="1"/>
        <s v="Chandrashekar A" u="1"/>
        <s v="Manikanta Tummalapenta" u="1"/>
        <s v="Anbu Anburaja" u="1"/>
        <s v="Muhammed Basheer" u="1"/>
        <s v="Justin Hou" u="1"/>
        <s v="Gaurav Lakhera" u="1"/>
        <s v="Mohit Singh" u="1"/>
        <s v="Ved Singh" u="1"/>
        <s v="Kapala Kiran Kumar" u="1"/>
        <s v="Raghu Ram Vengalil" u="1"/>
        <s v="Dustin Rocha" u="1"/>
        <s v="Praveen Mathiyazhagan" u="1"/>
        <s v="Satyavrat Mudgil" u="1"/>
        <s v="Vijayakumar B" u="1"/>
        <s v="M Uday Kiran Reddy" u="1"/>
        <s v="Turker Coskun" u="1"/>
        <s v="Ashokkumar K" u="1"/>
        <s v="Guru Sankararaman" u="1"/>
        <s v="Abhilash R" u="1"/>
        <s v="Suhail Jain" u="1"/>
        <s v="N Venkatesh Naik" u="1"/>
        <s v="Ravi Shankar Jha" u="1"/>
        <s v="Rajeev Chaine" u="1"/>
        <s v="Devanga Karna Muralidhar" u="1"/>
        <s v="Shashi Kumar" u="1"/>
        <s v="Liz Wrigglesworth" u="1"/>
        <s v="Babu Pasupathy" u="1"/>
        <s v="Shivam Goyal" u="1"/>
        <s v="Raj Patel" u="1"/>
        <s v="Devashish verma" u="1"/>
        <s v="Prakash Mohan" u="1"/>
        <s v="Mrugesh Jitendrabhai Thaker" u="1"/>
        <s v="Parul Jain" u="1"/>
        <s v="Alex Vivin" u="1"/>
        <s v="Arul Jothi Subbaraj" u="1"/>
        <s v="Akshayrajsinh Champavat" u="1"/>
        <s v="Caren Rodrigues" u="1"/>
        <s v="Fahad Tasleem" u="1"/>
        <s v="Akshat Gupta" u="1"/>
        <s v="Prashant Khulbe" u="1"/>
        <s v="Vishal Lalan" u="1"/>
        <s v="Rahul Raman" u="1"/>
        <s v="Palash Jain" u="1"/>
        <s v="Viral Shah" u="1"/>
        <s v="Jawahar Prasad" u="1"/>
        <s v="Parameswaran Shanmugam" u="1"/>
        <s v="Ankur Jain" u="1"/>
        <s v="Vijayalakshmi M" u="1"/>
        <s v="Syed Mazhar" u="1"/>
        <s v="Hanuth Singh" u="1"/>
        <s v="Robert Manoharan" u="1"/>
        <s v="Manoj Kansal" u="1"/>
        <s v="Sandhya Singh" u="1"/>
        <s v="Satendra Kumar Jain" u="1"/>
        <s v="Sudhir Gadipathi" u="1"/>
        <s v="Abinaya Kuppuswamy" u="1"/>
        <s v="Amanda Roach" u="1"/>
        <s v="Neelacantan Balasubramaniam" u="1"/>
        <s v="Rahul Kumar" u="1"/>
        <s v="Elona Kita" u="1"/>
        <s v="Chevviyan K" u="1"/>
        <s v="Nirmal Thomas" u="1"/>
        <s v="Vishwas Jain" u="1"/>
        <s v="Anup Patnaik" u="1"/>
        <s v="Akshay Nagpurkar" u="1"/>
        <s v="PRADIP ACHARYA" u="1"/>
        <s v="Kumar Ratnam Pandey" u="1"/>
        <s v="Anantha Rama Krishnan" u="1"/>
        <s v="Sandeep Bansi Jumani" u="1"/>
        <s v="Darshan Ranganath" u="1"/>
        <s v="Monica Wong" u="1"/>
        <s v="Ashish Kalya" u="1"/>
        <s v="Tom Jude Ammanthurutil" u="1"/>
        <s v="Akalya Krishnasamy" u="1"/>
        <s v="Shivakumar Kinagi" u="1"/>
        <s v="Mrunal Chimmalagi" u="1"/>
        <s v="Surendra Gandham" u="1"/>
        <s v="Anand Venkateshappa" u="1"/>
        <s v="Pradeep S" u="1"/>
        <s v="Saurabh Birla" u="1"/>
        <s v="Prashant Gupta" u="1"/>
        <s v="Aishwarya Dwivedi" u="1"/>
        <s v="Ritesh Kushwaha" u="1"/>
        <s v="Venkatesh Mahalingam" u="1"/>
        <s v="Gautam Dutt Naresh" u="1"/>
        <s v="Veerabahu S" u="1"/>
        <s v="Ananda Kumar H R" u="1"/>
        <s v="Chandler Clements" u="1"/>
        <s v="Samanwita De" u="1"/>
        <s v="Navajish Ahamed P S" u="1"/>
        <s v="Ashutosh Morey" u="1"/>
        <s v="Megha R" u="1"/>
        <s v="Shubham Raghuwanshi" u="1"/>
        <s v="Mohammed Yunus" u="1"/>
        <s v="Muthukumaran S" u="1"/>
        <s v="Ankur Agarwal" u="1"/>
        <s v="Gokul Jayabalan" u="1"/>
        <s v="Melissa Gray" u="1"/>
        <s v="Saurabh Goyal" u="1"/>
        <s v="Max Morrison" u="1"/>
        <s v="Ambuj Mehra" u="1"/>
        <s v="Preeti Anandan" u="1"/>
        <s v="Anandhkumar Thiyagarajan" u="1"/>
        <s v="Lakshmi Narasimman" u="1"/>
        <s v="Akshay Gupta" u="1"/>
        <s v="Vraj Solanki" u="1"/>
        <s v="Anjana Guliani" u="1"/>
        <s v="Subhash Mohan" u="1"/>
        <s v="John Jomton" u="1"/>
        <s v="Anirudh Badia" u="1"/>
        <s v="Srija R" u="1"/>
        <s v="J Raja Lingam" u="1"/>
        <s v="Sangeetha Sharma" u="1"/>
        <s v="Vanaja Shetty Gowda" u="1"/>
        <s v="Keshav Athreya" u="1"/>
        <s v="Hubert Dsouza" u="1"/>
        <s v="Binu Mathew" u="1"/>
        <s v="Mindy Parise" u="1"/>
        <s v="Shiva Somasundaram" u="1"/>
        <s v="Prakash ." u="1"/>
        <s v="Subin Thomas" u="1"/>
        <s v="Ashwin Dinesh" u="1"/>
        <s v="Jason Baab" u="1"/>
        <s v="Vellala VamseeKrishna" u="1"/>
        <s v="Abhimanyu Singh" u="1"/>
        <s v="Rohan Sinha" u="1"/>
        <s v="Viraj Patel" u="1"/>
        <s v="Raveesh Balakrishnan" u="1"/>
        <s v="Saurabh Goyal (workplace)" u="1"/>
        <s v="Rushikesh Khanapure" u="1"/>
        <s v="Raghu Edalur" u="1"/>
        <s v="Raakesh Rajan" u="1"/>
        <s v="Jyothish K" u="1"/>
        <s v="Om Dash" u="1"/>
        <s v="Michael O'Gara" u="1"/>
        <s v="Irfan Presswala" u="1"/>
        <s v="Rana Robillard" u="1"/>
        <s v="Shobhan Challa" u="1"/>
        <s v="Sitarama Aditya Phaneendra Kolli" u="1"/>
        <s v="Deepak Singh" u="1"/>
        <s v="Marc Stillman" u="1"/>
        <s v="Ragini Yadav" u="1"/>
        <s v="Vinoth Arun Mathialagan" u="1"/>
        <s v="Shraddha Tank" u="1"/>
        <s v="Brandon Therrien" u="1"/>
        <s v="Sampath Alagappan" u="1"/>
        <s v="Pawan Samtani" u="1"/>
        <s v="Shaan Shivanandan" u="1"/>
        <s v="Srilakshmi M S" u="1"/>
        <s v="Praveen Periyasamy" u="1"/>
        <s v="Venkatesh Ganesan" u="1"/>
        <s v="Rishitha Maramreddy" u="1"/>
        <s v="Anand Agarwal" u="1"/>
        <s v="MJ Plata" u="1"/>
        <s v="Nilesh Rana" u="1"/>
        <s v="Balakrishna N" u="1"/>
        <s v="Ron Wallace" u="1"/>
        <s v="Jayaprakash Chandrasekaran" u="1"/>
        <s v="Vinayak Gurudev Kallimani" u="1"/>
        <s v="Ken Rosen" u="1"/>
        <s v="Jason Hamilton" u="1"/>
        <s v="Umar Farook" u="1"/>
        <s v="Ryan Fong" u="1"/>
        <s v="Anubala Balachandran" u="1"/>
        <s v="Joe Muehlhauser" u="1"/>
        <s v="Rajesh Aravind Krishnasamy" u="1"/>
        <s v="Niranjan Gupta" u="1"/>
        <s v="Aysswarya Murthi" u="1"/>
        <s v="Bismah Kiani" u="1"/>
      </sharedItems>
    </cacheField>
    <cacheField name="Manager Email" numFmtId="0">
      <sharedItems/>
    </cacheField>
    <cacheField name="Department" numFmtId="0">
      <sharedItems/>
    </cacheField>
    <cacheField name="Functional Head Name" numFmtId="0">
      <sharedItems count="24">
        <s v="Teza Mukkavilli"/>
        <s v="Kunal Bhattacharya"/>
        <s v="Shankar Umamaheshwaran" u="1"/>
        <s v="Marc Stillman" u="1"/>
        <s v="Ved Singh" u="1"/>
        <s v="Satyavrat Mudgil" u="1"/>
        <s v="Sanyam Agrawal" u="1"/>
        <s v="Srin Tangirala" u="1"/>
        <s v="Justin Hou" u="1"/>
        <s v="Satish Sallakonda" u="1"/>
        <s v="Sowmya Mallaiah" u="1"/>
        <s v="Saurabh Goyal" u="1"/>
        <s v="Jacob Shulman" u="1"/>
        <s v="Viraj Patel" u="1"/>
        <s v="Pedram Faed" u="1"/>
        <s v="Joe Muehlhauser" u="1"/>
        <s v="Rana Robillard" u="1"/>
        <s v="Turker Coskun" u="1"/>
        <s v="Anirudh Badia" u="1"/>
        <s v="Jay Vijayan" u="1"/>
        <s v="Guru Sankararaman" u="1"/>
        <s v="Raghu Edalur" u="1"/>
        <s v="Binu Mathew" u="1"/>
        <s v="Aysswarya Murthi" u="1"/>
      </sharedItems>
    </cacheField>
    <cacheField name="Functional Head Email" numFmtId="0">
      <sharedItems/>
    </cacheField>
    <cacheField name="Director Name" numFmtId="0">
      <sharedItems count="91">
        <s v="Ramesh Sarabu"/>
        <s v="Jay Swaminathan"/>
        <s v="Vijay Kumar"/>
        <s v="Kunal Bhattacharya"/>
        <s v="Srinivas Lingutla"/>
        <s v="Abhinav Chourasia"/>
        <s v="Venkat Yennam"/>
        <s v="Shankar Umamaheshwaran" u="1"/>
        <s v="Manoj Kansal" u="1"/>
        <s v="Arun Gangadhar Achanta" u="1"/>
        <s v="Alok Joshi" u="1"/>
        <s v="Prashant Gupta" u="1"/>
        <s v="Sitarama Aditya Phaneendra Kolli" u="1"/>
        <s v="Suresh Gopal" u="1"/>
        <s v="Buhary Moulana Shahib" u="1"/>
        <s v="Prakash Mohan" u="1"/>
        <s v="Vaibhav Saini" u="1"/>
        <s v="Vraj Solanki" u="1"/>
        <s v="Ajay Rao U G" u="1"/>
        <s v="Damodara Reddy Gosula" u="1"/>
        <s v="Karan Singh" u="1"/>
        <s v="Venkatesh Ganesan" u="1"/>
        <s v="Satyavrat Mudgil" u="1"/>
        <s v="Vishwas Kathrikolli" u="1"/>
        <s v="Gaurav Sharma" u="1"/>
        <s v="Arul Jothi Subbaraj" u="1"/>
        <s v="Bob Wagoner" u="1"/>
        <s v="Saurabh Goyal ( workplace)" u="1"/>
        <s v="Venkateswarlu Yerramalli" u="1"/>
        <s v="Fahad Tasleem" u="1"/>
        <s v="Ryan Fong" u="1"/>
        <s v="Koyeli Dasgupta Negi" u="1"/>
        <s v="Bobby Alexander" u="1"/>
        <s v="Sanyam Agrawal" u="1"/>
        <s v="Saurabh Goyal" u="1"/>
        <s v="Satyajeet Singh" u="1"/>
        <s v="Santosh Golecha M" u="1"/>
        <s v="Gaurav Gupta" u="1"/>
        <s v="Satish Sallakonda" u="1"/>
        <s v="Anirudh Agarwal" u="1"/>
        <s v="James Shields" u="1"/>
        <s v="Ankur Agarwal" u="1"/>
        <s v="Vanaja Shetty Gowda" u="1"/>
        <s v="Prashanth N V" u="1"/>
        <s v="Ketan Dikshit" u="1"/>
        <s v="Ashish Kalya" u="1"/>
        <s v="Janarthanan Rajan" u="1"/>
        <s v="Rashmi Prakash" u="1"/>
        <s v="Ramamurthy Surya Narayanan" u="1"/>
        <s v="Ved Singh" u="1"/>
        <s v="Dean Jahanian" u="1"/>
        <s v="MJ Plata" u="1"/>
        <s v="Jason Baab" u="1"/>
        <s v="Turker Coskun" u="1"/>
        <s v="Anantha Rama Krishnan" u="1"/>
        <s v="Chandler Clements" u="1"/>
        <s v="Irfan Presswala" u="1"/>
        <s v="Manish Gangwal" u="1"/>
        <s v="Parul Jain" u="1"/>
        <s v="Sowmya Mallaiah" u="1"/>
        <s v="Justin Hou" u="1"/>
        <s v="Amy Lynn Kuhl" u="1"/>
        <s v="Jay Vijayan" u="1"/>
        <s v="Anirudh Badia" u="1"/>
        <s v="Anbu Anburaja" u="1"/>
        <s v="Raghu Ram Vengalil" u="1"/>
        <s v="Dustin Rocha" u="1"/>
        <s v="Hubert Dsouza" u="1"/>
        <s v="Vijayakumar B" u="1"/>
        <s v="Guru Sankararaman" u="1"/>
        <s v="Benjamin Printy" u="1"/>
        <s v="Jawahar Prasad" u="1"/>
        <s v="Pawan Samtani" u="1"/>
        <s v="Robert Manoharan" u="1"/>
        <s v="Neelacantan Balasubramaniam" u="1"/>
        <s v="Shiva Somasundaram" u="1"/>
        <s v="Sandeep Bansi Jumani" u="1"/>
        <s v="Monica Wong" u="1"/>
        <s v="Joe Muehlhauser" u="1"/>
        <s v="Rana Robillard" u="1"/>
        <s v="Binu Mathew" u="1"/>
        <s v="Mindy Parise" u="1"/>
        <s v="Subin Thomas" u="1"/>
        <s v="Viraj Patel" u="1"/>
        <s v="Raghu Edalur" u="1"/>
        <s v="Deepak Singh" u="1"/>
        <s v="Marc Stillman" u="1"/>
        <s v="Ron Wallace" u="1"/>
        <s v="Ken Rosen" u="1"/>
        <s v="Jason Hamilton" u="1"/>
        <s v="Aysswarya Murthi" u="1"/>
      </sharedItems>
    </cacheField>
    <cacheField name="Director Email" numFmtId="0">
      <sharedItems/>
    </cacheField>
    <cacheField name="Intern Mentor Name" numFmtId="0">
      <sharedItems containsNonDate="0" containsString="0" containsBlank="1"/>
    </cacheField>
    <cacheField name="Intern Mentor Email" numFmtId="0">
      <sharedItems containsNonDate="0" containsString="0" containsBlank="1"/>
    </cacheField>
    <cacheField name="Role" numFmtId="0">
      <sharedItems/>
    </cacheField>
    <cacheField name="1:1s Participated with Manager" numFmtId="0">
      <sharedItems containsSemiMixedTypes="0" containsString="0" containsNumber="1" containsInteger="1" minValue="0" maxValue="4"/>
    </cacheField>
    <cacheField name="1:1s Participated with Manager Final" numFmtId="0">
      <sharedItems containsSemiMixedTypes="0" containsString="0" containsNumber="1" containsInteger="1" minValue="0" maxValue="1"/>
    </cacheField>
    <cacheField name="1:1s Set Up with Manager" numFmtId="0">
      <sharedItems containsSemiMixedTypes="0" containsString="0" containsNumber="1" containsInteger="1" minValue="0" maxValue="5"/>
    </cacheField>
    <cacheField name="HRBP" numFmtId="0">
      <sharedItems count="8">
        <s v="Srividya"/>
        <s v="Asmita" u="1"/>
        <s v="Pranjal" u="1"/>
        <s v="Pooja" u="1"/>
        <s v="Samiksha" u="1"/>
        <s v="Sristi" u="1"/>
        <s v="Jacintha" u="1"/>
        <s v="Vishwas"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4">
  <r>
    <d v="2026-01-02T00:00:00"/>
    <s v="02/28/2026"/>
    <s v="S Karthick"/>
    <s v="Karthick"/>
    <s v="S"/>
    <m/>
    <s v="active"/>
    <s v="He/Him"/>
    <s v="India"/>
    <s v="skarthick@tekion.com"/>
    <d v="2024-10-03T00:00:00"/>
    <n v="1.4"/>
    <s v="Associate Software Engineer"/>
    <s v="Software Engineering"/>
    <s v="P1"/>
    <s v="Individual Contributor"/>
    <d v="2024-04-10T00:00:00"/>
    <x v="0"/>
    <s v="vnellaiyappan@tekion.com"/>
    <s v="Engineering"/>
    <x v="0"/>
    <s v="teza@tekion.com"/>
    <x v="0"/>
    <s v="rsarabu@tekion.com"/>
    <m/>
    <m/>
    <s v="ic"/>
    <n v="0"/>
    <n v="0"/>
    <n v="1"/>
    <x v="0"/>
  </r>
  <r>
    <d v="2026-01-02T00:00:00"/>
    <s v="02/28/2026"/>
    <s v="Vishnu Charan Gali"/>
    <s v="Gali"/>
    <s v="Vishnu Charan"/>
    <m/>
    <s v="active"/>
    <s v="He/Him"/>
    <s v="India"/>
    <s v="vcharangali@tekion.com"/>
    <d v="2025-06-30T00:00:00"/>
    <n v="0.67"/>
    <s v="Staff Business Applications Engineer"/>
    <s v="Business Applications"/>
    <s v="P4"/>
    <s v="Individual Contributor"/>
    <s v="6/30/2025"/>
    <x v="1"/>
    <s v="jvenkatraman@tekion.com"/>
    <s v="Engineering"/>
    <x v="0"/>
    <s v="teza@tekion.com"/>
    <x v="1"/>
    <s v="jswaminathan@tekion.com"/>
    <m/>
    <m/>
    <s v="ic"/>
    <n v="0"/>
    <n v="0"/>
    <n v="0"/>
    <x v="0"/>
  </r>
  <r>
    <d v="2026-01-02T00:00:00"/>
    <s v="02/28/2026"/>
    <s v="Naveena P"/>
    <s v="P"/>
    <s v="Naveena"/>
    <m/>
    <s v="active"/>
    <m/>
    <s v="India"/>
    <s v="naveenap@tekion.com"/>
    <d v="2022-10-03T00:00:00"/>
    <n v="3.4"/>
    <s v="Software Engineer I"/>
    <s v="Software Engineering"/>
    <s v="P2"/>
    <s v="Individual Contributor"/>
    <d v="2025-10-04T00:00:00"/>
    <x v="2"/>
    <s v="knatarajan@tekion.com"/>
    <s v="Engineering"/>
    <x v="0"/>
    <s v="teza@tekion.com"/>
    <x v="2"/>
    <s v="vijay@tekion.com"/>
    <m/>
    <m/>
    <s v="ic"/>
    <n v="0"/>
    <n v="0"/>
    <n v="1"/>
    <x v="0"/>
  </r>
  <r>
    <d v="2026-01-02T00:00:00"/>
    <s v="02/28/2026"/>
    <s v="Srinivasan Saravanan"/>
    <s v="Saravanan"/>
    <s v="Srinivasan"/>
    <m/>
    <s v="active"/>
    <m/>
    <s v="India"/>
    <s v="srinivasans@tekion.com"/>
    <d v="2021-06-21T00:00:00"/>
    <n v="4.6900000000000004"/>
    <s v="Lead Software Engineer"/>
    <s v="Software Engineering"/>
    <s v="P4"/>
    <s v="Individual Contributor"/>
    <d v="2024-06-09T00:00:00"/>
    <x v="3"/>
    <s v="mramasamy@tekion.com"/>
    <s v="Engineering"/>
    <x v="0"/>
    <s v="teza@tekion.com"/>
    <x v="2"/>
    <s v="vijay@tekion.com"/>
    <m/>
    <m/>
    <s v="manager"/>
    <n v="1"/>
    <n v="1"/>
    <n v="2"/>
    <x v="0"/>
  </r>
  <r>
    <d v="2026-01-02T00:00:00"/>
    <s v="02/28/2026"/>
    <s v="Sundari Samuthirapandi"/>
    <s v="Samuthirapandi"/>
    <s v="Sundari"/>
    <m/>
    <s v="active"/>
    <s v="Sundari"/>
    <s v="India"/>
    <s v="ssamuthirapandi@tekion.com"/>
    <d v="2021-12-09T00:00:00"/>
    <n v="4.22"/>
    <s v="Lead Automation QA Engineer"/>
    <s v="Automation QA"/>
    <s v="P4"/>
    <s v="Individual Contributor"/>
    <d v="2024-06-09T00:00:00"/>
    <x v="4"/>
    <s v="schandravelu@tekion.com"/>
    <s v="Engineering"/>
    <x v="0"/>
    <s v="teza@tekion.com"/>
    <x v="0"/>
    <s v="rsarabu@tekion.com"/>
    <m/>
    <m/>
    <s v="manager"/>
    <n v="0"/>
    <n v="0"/>
    <n v="0"/>
    <x v="0"/>
  </r>
  <r>
    <d v="2026-01-02T00:00:00"/>
    <s v="02/28/2026"/>
    <s v="Suhail Rahman"/>
    <s v="Rahman"/>
    <s v="Suhail"/>
    <m/>
    <s v="active"/>
    <s v="He/Him"/>
    <s v="India"/>
    <s v="suhailr@tekion.com"/>
    <d v="2025-12-15T00:00:00"/>
    <n v="0.2"/>
    <s v="Senior Manager, Business Continuity &amp; Crisis Management"/>
    <s v="Business Continuity &amp; Crisis Management"/>
    <s v="M4"/>
    <s v="Management"/>
    <s v="12/15/2025"/>
    <x v="5"/>
    <s v="kbhattacharya@tekion.com"/>
    <s v="IT"/>
    <x v="1"/>
    <s v="kbhattacharya@tekion.com"/>
    <x v="3"/>
    <s v="kbhattacharya@tekion.com"/>
    <m/>
    <m/>
    <s v="ic"/>
    <n v="0"/>
    <n v="0"/>
    <n v="0"/>
    <x v="0"/>
  </r>
  <r>
    <d v="2026-01-02T00:00:00"/>
    <s v="02/28/2026"/>
    <s v="Deenan Ravindra"/>
    <s v="Ravindra"/>
    <s v="Deenan"/>
    <m/>
    <s v="active"/>
    <m/>
    <s v="India"/>
    <s v="dravindra@tekion.com"/>
    <d v="2023-01-16T00:00:00"/>
    <n v="3.12"/>
    <s v="Product Manager II"/>
    <s v="Product Mgmt"/>
    <s v="P3A"/>
    <s v="Individual Contributor"/>
    <s v="12/16/2024"/>
    <x v="6"/>
    <s v="slingutla@tekion.com"/>
    <s v="Product Management"/>
    <x v="0"/>
    <s v="teza@tekion.com"/>
    <x v="4"/>
    <s v="slingutla@tekion.com"/>
    <m/>
    <m/>
    <s v="ic"/>
    <n v="2"/>
    <n v="1"/>
    <n v="3"/>
    <x v="0"/>
  </r>
  <r>
    <d v="2026-01-02T00:00:00"/>
    <s v="02/28/2026"/>
    <s v="Prasanna O"/>
    <s v="O"/>
    <s v="Prasanna"/>
    <m/>
    <s v="active"/>
    <m/>
    <s v="India"/>
    <s v="prasannak@tekion.com"/>
    <d v="2021-07-15T00:00:00"/>
    <n v="4.62"/>
    <s v="Senior Software Engineer"/>
    <s v="Software Engineering"/>
    <s v="P3B"/>
    <s v="Individual Contributor"/>
    <s v="8/27/2024"/>
    <x v="2"/>
    <s v="knatarajan@tekion.com"/>
    <s v="Engineering"/>
    <x v="0"/>
    <s v="teza@tekion.com"/>
    <x v="2"/>
    <s v="vijay@tekion.com"/>
    <m/>
    <m/>
    <s v="ic"/>
    <n v="0"/>
    <n v="0"/>
    <n v="1"/>
    <x v="0"/>
  </r>
  <r>
    <d v="2026-01-02T00:00:00"/>
    <s v="02/28/2026"/>
    <s v="Ambiga Devi M A"/>
    <s v="M A"/>
    <s v="Ambiga Devi"/>
    <m/>
    <s v="active"/>
    <s v="She/Her"/>
    <s v="India"/>
    <s v="adevi@tekion.com"/>
    <d v="2026-01-12T00:00:00"/>
    <n v="0.13"/>
    <s v="Product Manager II"/>
    <s v="Product Mgmt"/>
    <s v="P3A"/>
    <s v="Individual Contributor"/>
    <d v="2026-12-01T00:00:00"/>
    <x v="7"/>
    <s v="thilakgtn@tekion.com"/>
    <s v="Product Management"/>
    <x v="0"/>
    <s v="teza@tekion.com"/>
    <x v="4"/>
    <s v="slingutla@tekion.com"/>
    <m/>
    <m/>
    <s v="ic"/>
    <n v="0"/>
    <n v="0"/>
    <n v="0"/>
    <x v="0"/>
  </r>
  <r>
    <d v="2026-01-02T00:00:00"/>
    <s v="02/28/2026"/>
    <s v="Rajavelan V"/>
    <s v="V"/>
    <s v="Rajavelan"/>
    <m/>
    <s v="active"/>
    <m/>
    <s v="India"/>
    <s v="rajavelanv@tekion.com"/>
    <d v="2023-03-09T00:00:00"/>
    <n v="2.97"/>
    <s v="Software Engineer I"/>
    <s v="Software Engineering"/>
    <s v="P2"/>
    <s v="Individual Contributor"/>
    <d v="2025-02-11T00:00:00"/>
    <x v="2"/>
    <s v="knatarajan@tekion.com"/>
    <s v="Engineering"/>
    <x v="0"/>
    <s v="teza@tekion.com"/>
    <x v="2"/>
    <s v="vijay@tekion.com"/>
    <m/>
    <m/>
    <s v="ic"/>
    <n v="0"/>
    <n v="0"/>
    <n v="0"/>
    <x v="0"/>
  </r>
  <r>
    <d v="2026-01-02T00:00:00"/>
    <s v="02/28/2026"/>
    <s v="Balaji J"/>
    <s v="J"/>
    <s v="Balaji"/>
    <m/>
    <s v="active"/>
    <m/>
    <s v="India"/>
    <s v="balajij@tekion.com"/>
    <d v="2020-12-09T00:00:00"/>
    <n v="5.22"/>
    <s v="Manager, Product Management"/>
    <s v="Product Mgmt"/>
    <s v="M3"/>
    <s v="Management"/>
    <s v="12/16/2024"/>
    <x v="6"/>
    <s v="slingutla@tekion.com"/>
    <s v="Product Management"/>
    <x v="0"/>
    <s v="teza@tekion.com"/>
    <x v="4"/>
    <s v="slingutla@tekion.com"/>
    <m/>
    <m/>
    <s v="manager"/>
    <n v="2"/>
    <n v="1"/>
    <n v="4"/>
    <x v="0"/>
  </r>
  <r>
    <d v="2026-01-02T00:00:00"/>
    <s v="02/28/2026"/>
    <s v="Nidin S"/>
    <s v="S"/>
    <s v="Nidin"/>
    <m/>
    <s v="active"/>
    <s v="He/Him"/>
    <s v="India"/>
    <s v="nidins@tekion.com"/>
    <d v="2025-05-26T00:00:00"/>
    <n v="0.76"/>
    <s v="Software Engineer I"/>
    <s v="Software Engineering"/>
    <s v="P2"/>
    <s v="Individual Contributor"/>
    <s v="5/26/2025"/>
    <x v="8"/>
    <s v="csricharan@tekion.com"/>
    <s v="Engineering"/>
    <x v="0"/>
    <s v="teza@tekion.com"/>
    <x v="0"/>
    <s v="rsarabu@tekion.com"/>
    <m/>
    <m/>
    <s v="ic"/>
    <n v="0"/>
    <n v="0"/>
    <n v="1"/>
    <x v="0"/>
  </r>
  <r>
    <d v="2026-01-02T00:00:00"/>
    <s v="02/28/2026"/>
    <s v="Janardhan Naik"/>
    <s v="Naik"/>
    <s v="Janardhan"/>
    <m/>
    <s v="active"/>
    <m/>
    <s v="India"/>
    <s v="jrnaik@tekion.com"/>
    <d v="2022-10-03T00:00:00"/>
    <n v="3.4"/>
    <s v="Senior Manager, IT Governance, Risk &amp; Compliance"/>
    <s v="Governance, Risk &amp; Compliance"/>
    <s v="M4"/>
    <s v="Management"/>
    <s v="9/26/2025"/>
    <x v="5"/>
    <s v="kbhattacharya@tekion.com"/>
    <s v="IT"/>
    <x v="1"/>
    <s v="kbhattacharya@tekion.com"/>
    <x v="3"/>
    <s v="kbhattacharya@tekion.com"/>
    <m/>
    <m/>
    <s v="manager"/>
    <n v="0"/>
    <n v="0"/>
    <n v="0"/>
    <x v="0"/>
  </r>
  <r>
    <d v="2026-01-02T00:00:00"/>
    <s v="02/28/2026"/>
    <s v="Prakash Krishnamurthy"/>
    <s v="Krishnamurthy"/>
    <s v="Prakash"/>
    <m/>
    <s v="active"/>
    <m/>
    <s v="India"/>
    <s v="pkrishnamurthy@tekion.com"/>
    <d v="2021-03-22T00:00:00"/>
    <n v="4.93"/>
    <s v="Senior Software Engineer"/>
    <s v="Software Engineering"/>
    <s v="P3B"/>
    <s v="Individual Contributor"/>
    <s v="8/27/2024"/>
    <x v="9"/>
    <s v="mrackmann@tekion.com"/>
    <s v="Engineering"/>
    <x v="0"/>
    <s v="teza@tekion.com"/>
    <x v="2"/>
    <s v="vijay@tekion.com"/>
    <m/>
    <m/>
    <s v="ic"/>
    <n v="0"/>
    <n v="0"/>
    <n v="1"/>
    <x v="0"/>
  </r>
  <r>
    <d v="2026-01-02T00:00:00"/>
    <s v="02/28/2026"/>
    <s v="Hariharan S"/>
    <s v="S"/>
    <s v="Hariharan"/>
    <m/>
    <s v="active"/>
    <m/>
    <s v="India"/>
    <s v="hariharans@tekion.com"/>
    <d v="2022-08-18T00:00:00"/>
    <n v="3.53"/>
    <s v="Software Engineer I"/>
    <s v="Software Engineering"/>
    <s v="P2"/>
    <s v="Individual Contributor"/>
    <d v="2025-10-04T00:00:00"/>
    <x v="10"/>
    <s v="pravindran@tekion.com"/>
    <s v="Engineering"/>
    <x v="0"/>
    <s v="teza@tekion.com"/>
    <x v="2"/>
    <s v="vijay@tekion.com"/>
    <m/>
    <m/>
    <s v="ic"/>
    <n v="1"/>
    <n v="1"/>
    <n v="1"/>
    <x v="0"/>
  </r>
  <r>
    <d v="2026-01-02T00:00:00"/>
    <s v="02/28/2026"/>
    <s v="Tamizh Selvan Sadasivam"/>
    <s v="Sadasivam"/>
    <s v="Tamizh Selvan"/>
    <m/>
    <s v="active"/>
    <s v="He"/>
    <s v="India"/>
    <s v="tsadasivam@tekion.com"/>
    <d v="2025-11-06T00:00:00"/>
    <n v="0.31"/>
    <s v="QA Engineer II"/>
    <s v="QA"/>
    <s v="P3A"/>
    <s v="Individual Contributor"/>
    <d v="2025-06-11T00:00:00"/>
    <x v="4"/>
    <s v="schandravelu@tekion.com"/>
    <s v="Engineering"/>
    <x v="0"/>
    <s v="teza@tekion.com"/>
    <x v="0"/>
    <s v="rsarabu@tekion.com"/>
    <m/>
    <m/>
    <s v="ic"/>
    <n v="0"/>
    <n v="0"/>
    <n v="0"/>
    <x v="0"/>
  </r>
  <r>
    <d v="2026-01-02T00:00:00"/>
    <s v="02/28/2026"/>
    <s v="Saami ."/>
    <s v=" ."/>
    <s v="Saami"/>
    <m/>
    <s v="active"/>
    <s v="He/Him"/>
    <s v="India"/>
    <s v="saamis@tekion.com"/>
    <d v="2026-01-15T00:00:00"/>
    <n v="0.12"/>
    <s v="Associate Security Engineer"/>
    <s v="Security Engineering"/>
    <s v="P1"/>
    <s v="Individual Contributor"/>
    <s v="1/15/2026"/>
    <x v="11"/>
    <s v="bprashanth@tekion.com"/>
    <s v="Engineering"/>
    <x v="1"/>
    <s v="kbhattacharya@tekion.com"/>
    <x v="5"/>
    <s v="achourasia@tekion.com"/>
    <m/>
    <m/>
    <s v="ic"/>
    <n v="0"/>
    <n v="0"/>
    <n v="0"/>
    <x v="0"/>
  </r>
  <r>
    <d v="2026-01-02T00:00:00"/>
    <s v="02/28/2026"/>
    <s v="Narendran Kannadhasan"/>
    <s v="Kannadhasan"/>
    <s v="Narendran"/>
    <m/>
    <s v="active"/>
    <s v="He"/>
    <s v="India"/>
    <s v="nkannadhasan@tekion.com"/>
    <d v="2019-02-27T00:00:00"/>
    <n v="7"/>
    <s v="Associate Software Engineer"/>
    <s v="Software Engineering"/>
    <s v="P1"/>
    <s v="Individual Contributor"/>
    <d v="2025-08-09T00:00:00"/>
    <x v="12"/>
    <s v="smanian@tekion.com"/>
    <s v="Engineering"/>
    <x v="0"/>
    <s v="teza@tekion.com"/>
    <x v="2"/>
    <s v="vijay@tekion.com"/>
    <m/>
    <m/>
    <s v="ic"/>
    <n v="2"/>
    <n v="1"/>
    <n v="4"/>
    <x v="0"/>
  </r>
  <r>
    <d v="2026-01-02T00:00:00"/>
    <s v="02/28/2026"/>
    <s v="Priyal Viroja"/>
    <s v="Viroja"/>
    <s v="Priyal"/>
    <m/>
    <s v="active"/>
    <m/>
    <s v="India"/>
    <s v="priyalv@tekion.com"/>
    <d v="2021-08-09T00:00:00"/>
    <n v="4.55"/>
    <s v="Associate Architect, Security Engineering"/>
    <s v="Security Engineering"/>
    <s v="P5"/>
    <s v="Individual Contributor"/>
    <s v="8/27/2024"/>
    <x v="13"/>
    <s v="achourasia@tekion.com"/>
    <s v="Engineering"/>
    <x v="1"/>
    <s v="kbhattacharya@tekion.com"/>
    <x v="5"/>
    <s v="achourasia@tekion.com"/>
    <m/>
    <m/>
    <s v="ic"/>
    <n v="0"/>
    <n v="0"/>
    <n v="0"/>
    <x v="0"/>
  </r>
  <r>
    <d v="2026-01-02T00:00:00"/>
    <s v="02/28/2026"/>
    <s v="Ezhil Saravanan T"/>
    <s v="Saravanan T"/>
    <s v="Ezhil"/>
    <m/>
    <s v="active"/>
    <m/>
    <s v="India"/>
    <s v="esaravanan@tekion.com"/>
    <d v="2023-07-06T00:00:00"/>
    <n v="2.64"/>
    <s v="Software Engineer I"/>
    <s v="Software Engineering"/>
    <s v="P2"/>
    <s v="Individual Contributor"/>
    <d v="2025-02-11T00:00:00"/>
    <x v="14"/>
    <s v="vmsadasivan@tekion.com"/>
    <s v="Engineering"/>
    <x v="0"/>
    <s v="teza@tekion.com"/>
    <x v="2"/>
    <s v="vijay@tekion.com"/>
    <m/>
    <m/>
    <s v="ic"/>
    <n v="0"/>
    <n v="0"/>
    <n v="1"/>
    <x v="0"/>
  </r>
  <r>
    <d v="2026-01-02T00:00:00"/>
    <s v="02/28/2026"/>
    <s v="Jagadeesh Pacha"/>
    <s v="Pacha"/>
    <s v="Jagadeesh"/>
    <m/>
    <s v="active"/>
    <s v="He/Him"/>
    <s v="India"/>
    <s v="jpacha@tekion.com"/>
    <d v="2020-12-28T00:00:00"/>
    <n v="5.17"/>
    <s v="Manager, Automation QA"/>
    <s v="Automation QA"/>
    <s v="M3"/>
    <s v="Management"/>
    <s v="8/27/2024"/>
    <x v="4"/>
    <s v="schandravelu@tekion.com"/>
    <s v="Engineering"/>
    <x v="0"/>
    <s v="teza@tekion.com"/>
    <x v="0"/>
    <s v="rsarabu@tekion.com"/>
    <m/>
    <m/>
    <s v="manager"/>
    <n v="0"/>
    <n v="0"/>
    <n v="0"/>
    <x v="0"/>
  </r>
  <r>
    <d v="2026-01-02T00:00:00"/>
    <s v="02/28/2026"/>
    <s v="Sameer Srivastava"/>
    <s v="Srivastava"/>
    <s v="Sameer"/>
    <m/>
    <s v="active"/>
    <m/>
    <s v="India"/>
    <s v="sameers@tekion.com"/>
    <d v="2025-07-14T00:00:00"/>
    <n v="0.62"/>
    <s v="Associate Software Engineer"/>
    <s v="Software Engineering"/>
    <s v="P1"/>
    <s v="Individual Contributor"/>
    <s v="7/14/2025"/>
    <x v="9"/>
    <s v="mrackmann@tekion.com"/>
    <s v="Engineering"/>
    <x v="0"/>
    <s v="teza@tekion.com"/>
    <x v="2"/>
    <s v="vijay@tekion.com"/>
    <m/>
    <m/>
    <s v="ic"/>
    <n v="0"/>
    <n v="0"/>
    <n v="1"/>
    <x v="0"/>
  </r>
  <r>
    <d v="2026-01-02T00:00:00"/>
    <s v="02/28/2026"/>
    <s v="Ragunath Rajendran"/>
    <s v="Rajendran"/>
    <s v="Ragunath"/>
    <m/>
    <s v="active"/>
    <s v="He/Him"/>
    <s v="India"/>
    <s v="ragunathr@tekion.com"/>
    <d v="2026-01-12T00:00:00"/>
    <n v="0.13"/>
    <s v="Senior Software Engineer"/>
    <s v="Software Engineering"/>
    <s v="P3B"/>
    <s v="Individual Contributor"/>
    <d v="2026-12-01T00:00:00"/>
    <x v="15"/>
    <s v="sivas@tekion.com"/>
    <s v="Engineering"/>
    <x v="0"/>
    <s v="teza@tekion.com"/>
    <x v="0"/>
    <s v="rsarabu@tekion.com"/>
    <m/>
    <m/>
    <s v="ic"/>
    <n v="0"/>
    <n v="0"/>
    <n v="4"/>
    <x v="0"/>
  </r>
  <r>
    <d v="2026-01-02T00:00:00"/>
    <s v="02/28/2026"/>
    <s v="Padma Kypu"/>
    <s v="Kypu"/>
    <s v="Padma"/>
    <m/>
    <s v="active"/>
    <s v="She/Her"/>
    <s v="India"/>
    <s v="pkypu@tekion.com"/>
    <d v="2025-05-08T00:00:00"/>
    <n v="0.8"/>
    <s v="QA Engineer I"/>
    <s v="QA"/>
    <s v="P2"/>
    <s v="Individual Contributor"/>
    <s v="5/13/2025"/>
    <x v="16"/>
    <s v="jpacha@tekion.com"/>
    <s v="Engineering"/>
    <x v="0"/>
    <s v="teza@tekion.com"/>
    <x v="0"/>
    <s v="rsarabu@tekion.com"/>
    <m/>
    <m/>
    <s v="ic"/>
    <n v="0"/>
    <n v="0"/>
    <n v="1"/>
    <x v="0"/>
  </r>
  <r>
    <d v="2026-01-02T00:00:00"/>
    <s v="02/28/2026"/>
    <s v="Aravind Krishna S"/>
    <s v="Krishna S"/>
    <s v="Aravind"/>
    <m/>
    <s v="active"/>
    <m/>
    <s v="India"/>
    <s v="akrishna@tekion.com"/>
    <d v="2022-07-28T00:00:00"/>
    <n v="3.58"/>
    <s v="Lead Performance Engineer"/>
    <s v="Performance"/>
    <s v="P4"/>
    <s v="Individual Contributor"/>
    <d v="2024-06-11T00:00:00"/>
    <x v="17"/>
    <s v="jmuthuram@tekion.com"/>
    <s v="Engineering"/>
    <x v="0"/>
    <s v="teza@tekion.com"/>
    <x v="0"/>
    <s v="rsarabu@tekion.com"/>
    <m/>
    <m/>
    <s v="manager"/>
    <n v="0"/>
    <n v="0"/>
    <n v="2"/>
    <x v="0"/>
  </r>
  <r>
    <d v="2026-01-02T00:00:00"/>
    <s v="02/28/2026"/>
    <s v="Rachit Shrivastava"/>
    <s v="Shrivastava"/>
    <s v="Rachit"/>
    <m/>
    <s v="active"/>
    <m/>
    <s v="India"/>
    <s v="rachits@tekion.com"/>
    <d v="2022-03-07T00:00:00"/>
    <n v="3.97"/>
    <s v="Senior IT Systems Engineer"/>
    <s v="IT Systems"/>
    <s v="P3"/>
    <s v="Individual Contributor"/>
    <d v="2025-10-04T00:00:00"/>
    <x v="18"/>
    <s v="jbouse@tekion.com"/>
    <s v="IT"/>
    <x v="0"/>
    <s v="teza@tekion.com"/>
    <x v="2"/>
    <s v="vijay@tekion.com"/>
    <m/>
    <m/>
    <s v="ic"/>
    <n v="0"/>
    <n v="0"/>
    <n v="0"/>
    <x v="0"/>
  </r>
  <r>
    <d v="2026-01-02T00:00:00"/>
    <s v="02/28/2026"/>
    <s v="Deepankumar V"/>
    <s v="V"/>
    <s v="Deepankumar"/>
    <m/>
    <s v="active"/>
    <s v="He/Him"/>
    <s v="India"/>
    <s v="deepankumarv@tekion.com"/>
    <d v="2025-11-10T00:00:00"/>
    <n v="0.3"/>
    <s v="Senior Software Engineer"/>
    <s v="Software Engineering"/>
    <s v="P3B"/>
    <s v="Individual Contributor"/>
    <d v="2025-10-11T00:00:00"/>
    <x v="19"/>
    <s v="thiyagarasank@tekion.com"/>
    <s v="Engineering"/>
    <x v="0"/>
    <s v="teza@tekion.com"/>
    <x v="6"/>
    <s v="venkaty@tekion.com"/>
    <m/>
    <m/>
    <s v="ic"/>
    <n v="1"/>
    <n v="1"/>
    <n v="2"/>
    <x v="0"/>
  </r>
  <r>
    <d v="2026-01-02T00:00:00"/>
    <s v="02/28/2026"/>
    <s v="Janani G"/>
    <s v="G"/>
    <s v="Janani"/>
    <m/>
    <s v="active"/>
    <m/>
    <s v="India"/>
    <s v="jananig@tekion.com"/>
    <d v="2022-08-11T00:00:00"/>
    <n v="3.55"/>
    <s v="Software Engineer I"/>
    <s v="Software Engineering"/>
    <s v="P2"/>
    <s v="Individual Contributor"/>
    <d v="2025-10-04T00:00:00"/>
    <x v="15"/>
    <s v="sivas@tekion.com"/>
    <s v="Engineering"/>
    <x v="0"/>
    <s v="teza@tekion.com"/>
    <x v="0"/>
    <s v="rsarabu@tekion.com"/>
    <m/>
    <m/>
    <s v="ic"/>
    <n v="0"/>
    <n v="0"/>
    <n v="4"/>
    <x v="0"/>
  </r>
  <r>
    <d v="2026-01-02T00:00:00"/>
    <s v="02/28/2026"/>
    <s v="Kader Oli Meeran Darvaze Mydeen"/>
    <s v="Oli Meeran Darvaze Mydeen"/>
    <s v="Kader"/>
    <s v="Asia/Calcutta"/>
    <s v="active"/>
    <m/>
    <s v="India"/>
    <s v="komeeran@tekion.com"/>
    <d v="2019-04-03T00:00:00"/>
    <n v="6.9"/>
    <s v="Senior Automation QA Engineer"/>
    <s v="Automation QA"/>
    <s v="P3B"/>
    <s v="Individual Contributor"/>
    <s v="8/27/2024"/>
    <x v="4"/>
    <s v="schandravelu@tekion.com"/>
    <s v="Engineering"/>
    <x v="0"/>
    <s v="teza@tekion.com"/>
    <x v="0"/>
    <s v="rsarabu@tekion.com"/>
    <m/>
    <m/>
    <s v="ic"/>
    <n v="0"/>
    <n v="0"/>
    <n v="0"/>
    <x v="0"/>
  </r>
  <r>
    <d v="2026-01-02T00:00:00"/>
    <s v="02/28/2026"/>
    <s v="Arunkumar S"/>
    <s v="S"/>
    <s v="Arunkumar"/>
    <m/>
    <s v="active"/>
    <s v="He"/>
    <s v="India"/>
    <s v="arunks@tekion.com"/>
    <d v="2021-09-02T00:00:00"/>
    <n v="4.49"/>
    <s v="Senior IT Technical Support Engineer"/>
    <s v="IT Technical Support"/>
    <s v="S5"/>
    <s v="Individual Contributor"/>
    <s v="8/27/2024"/>
    <x v="20"/>
    <s v="pbalasubramaniam@tekion.com"/>
    <s v="IT"/>
    <x v="0"/>
    <s v="teza@tekion.com"/>
    <x v="2"/>
    <s v="vijay@tekion.com"/>
    <m/>
    <m/>
    <s v="ic"/>
    <n v="1"/>
    <n v="1"/>
    <n v="2"/>
    <x v="0"/>
  </r>
  <r>
    <d v="2026-01-02T00:00:00"/>
    <s v="02/28/2026"/>
    <s v="Harish Nanthan S"/>
    <s v="Nanthan S"/>
    <s v="Harish"/>
    <m/>
    <s v="active"/>
    <m/>
    <s v="India"/>
    <s v="harishns@tekion.com"/>
    <d v="2022-12-29T00:00:00"/>
    <n v="3.17"/>
    <s v="Software Engineer I"/>
    <s v="Software Engineering"/>
    <s v="P2"/>
    <s v="Individual Contributor"/>
    <d v="2025-10-04T00:00:00"/>
    <x v="21"/>
    <s v="srinivasans@tekion.com"/>
    <s v="Engineering"/>
    <x v="0"/>
    <s v="teza@tekion.com"/>
    <x v="2"/>
    <s v="vijay@tekion.com"/>
    <m/>
    <m/>
    <s v="ic"/>
    <n v="0"/>
    <n v="0"/>
    <n v="0"/>
    <x v="0"/>
  </r>
  <r>
    <d v="2026-01-02T00:00:00"/>
    <s v="02/28/2026"/>
    <s v="Jeya Seelan S"/>
    <s v="S"/>
    <s v="Jeya Seelan"/>
    <m/>
    <s v="active"/>
    <s v="He/Him"/>
    <s v="India"/>
    <s v="jeyaseelans@tekion.com"/>
    <d v="2025-05-19T00:00:00"/>
    <n v="0.77"/>
    <s v="Security Engineer II"/>
    <s v="Security Engineering"/>
    <s v="P3A"/>
    <s v="Individual Contributor"/>
    <s v="5/19/2025"/>
    <x v="11"/>
    <s v="bprashanth@tekion.com"/>
    <s v="Engineering"/>
    <x v="1"/>
    <s v="kbhattacharya@tekion.com"/>
    <x v="5"/>
    <s v="achourasia@tekion.com"/>
    <m/>
    <m/>
    <s v="ic"/>
    <n v="0"/>
    <n v="0"/>
    <n v="2"/>
    <x v="0"/>
  </r>
  <r>
    <d v="2026-01-02T00:00:00"/>
    <s v="02/28/2026"/>
    <s v="Ramji B S"/>
    <s v="B S"/>
    <s v="Ramji"/>
    <m/>
    <s v="active"/>
    <s v="He"/>
    <s v="India"/>
    <s v="ramjibs@tekion.com"/>
    <d v="2021-05-20T00:00:00"/>
    <n v="4.7699999999999996"/>
    <s v="Staff Software Engineer"/>
    <s v="Software Engineering"/>
    <s v="P4"/>
    <s v="Individual Contributor"/>
    <d v="2025-10-04T00:00:00"/>
    <x v="21"/>
    <s v="srinivasans@tekion.com"/>
    <s v="Engineering"/>
    <x v="0"/>
    <s v="teza@tekion.com"/>
    <x v="2"/>
    <s v="vijay@tekion.com"/>
    <m/>
    <m/>
    <s v="manager"/>
    <n v="0"/>
    <n v="0"/>
    <n v="0"/>
    <x v="0"/>
  </r>
  <r>
    <d v="2026-01-02T00:00:00"/>
    <s v="02/28/2026"/>
    <s v="Anantha Krishnan M"/>
    <s v="Krishnan M"/>
    <s v="Anantha"/>
    <m/>
    <s v="active"/>
    <s v="He/Him"/>
    <s v="India"/>
    <s v="akrishnanm@tekion.com"/>
    <d v="2025-10-06T00:00:00"/>
    <n v="0.39"/>
    <s v="Software Engineer I"/>
    <s v="Software Engineering"/>
    <s v="P2"/>
    <s v="Individual Contributor"/>
    <d v="2025-06-10T00:00:00"/>
    <x v="22"/>
    <s v="svgovindarasan@tekion.com"/>
    <s v="Engineering"/>
    <x v="0"/>
    <s v="teza@tekion.com"/>
    <x v="2"/>
    <s v="vijay@tekion.com"/>
    <m/>
    <m/>
    <s v="ic"/>
    <n v="1"/>
    <n v="1"/>
    <n v="1"/>
    <x v="0"/>
  </r>
  <r>
    <d v="2026-01-02T00:00:00"/>
    <s v="02/28/2026"/>
    <s v="Mohamed Afzal"/>
    <s v="Afzal"/>
    <s v="Mohamed"/>
    <m/>
    <s v="active"/>
    <m/>
    <s v="India"/>
    <s v="mafzaltm@tekion.com"/>
    <d v="2022-09-06T00:00:00"/>
    <n v="3.48"/>
    <s v="Software Engineer I"/>
    <s v="Software Engineering"/>
    <s v="P2"/>
    <s v="Individual Contributor"/>
    <d v="2025-10-04T00:00:00"/>
    <x v="9"/>
    <s v="mrackmann@tekion.com"/>
    <s v="Engineering"/>
    <x v="0"/>
    <s v="teza@tekion.com"/>
    <x v="2"/>
    <s v="vijay@tekion.com"/>
    <m/>
    <m/>
    <s v="ic"/>
    <n v="0"/>
    <n v="0"/>
    <n v="0"/>
    <x v="0"/>
  </r>
  <r>
    <d v="2026-01-02T00:00:00"/>
    <s v="02/28/2026"/>
    <s v="Shanmuga Priya  M"/>
    <s v=" M"/>
    <s v="Shanmuga Priya"/>
    <m/>
    <s v="active"/>
    <m/>
    <s v="India"/>
    <s v="spriyam@tekion.com"/>
    <d v="2025-12-29T00:00:00"/>
    <n v="0.17"/>
    <s v="Software Engineer I"/>
    <s v="Software Engineering"/>
    <s v="P2"/>
    <s v="Individual Contributor"/>
    <s v="12/29/2025"/>
    <x v="23"/>
    <s v="nyadav@tekion.com"/>
    <s v="Engineering"/>
    <x v="0"/>
    <s v="teza@tekion.com"/>
    <x v="2"/>
    <s v="vijay@tekion.com"/>
    <m/>
    <m/>
    <s v="ic"/>
    <n v="1"/>
    <n v="1"/>
    <n v="1"/>
    <x v="0"/>
  </r>
  <r>
    <d v="2026-01-02T00:00:00"/>
    <s v="02/28/2026"/>
    <s v="Abhilash Reddy Ponnapati"/>
    <s v="Ponnapati"/>
    <s v="Abhilash Reddy"/>
    <m/>
    <s v="active"/>
    <s v="He/Him"/>
    <s v="India"/>
    <s v="ponnapatia@tekion.com"/>
    <d v="2025-01-20T00:00:00"/>
    <n v="1.1100000000000001"/>
    <s v="Staff Business Applications Engineer"/>
    <s v="Business Applications"/>
    <s v="P4"/>
    <s v="Individual Contributor"/>
    <s v="5/13/2025"/>
    <x v="24"/>
    <s v="venkaty@tekion.com"/>
    <s v="Engineering"/>
    <x v="0"/>
    <s v="teza@tekion.com"/>
    <x v="6"/>
    <s v="venkaty@tekion.com"/>
    <m/>
    <m/>
    <s v="ic"/>
    <n v="0"/>
    <n v="0"/>
    <n v="0"/>
    <x v="0"/>
  </r>
  <r>
    <d v="2026-01-02T00:00:00"/>
    <s v="02/28/2026"/>
    <s v="Rajavijayan Raja"/>
    <s v="Raja"/>
    <s v="Rajavijayan"/>
    <s v="Asia/Calcutta"/>
    <s v="active"/>
    <s v="He"/>
    <s v="India"/>
    <s v="rraja@tekion.com"/>
    <d v="2022-10-13T00:00:00"/>
    <n v="3.37"/>
    <s v="Senior Manager, Product Management"/>
    <s v="Product Mgmt"/>
    <s v="M4"/>
    <s v="Management"/>
    <d v="2025-10-04T00:00:00"/>
    <x v="6"/>
    <s v="slingutla@tekion.com"/>
    <s v="Product Management"/>
    <x v="0"/>
    <s v="teza@tekion.com"/>
    <x v="4"/>
    <s v="slingutla@tekion.com"/>
    <m/>
    <m/>
    <s v="manager"/>
    <n v="2"/>
    <n v="1"/>
    <n v="3"/>
    <x v="0"/>
  </r>
  <r>
    <d v="2026-01-02T00:00:00"/>
    <s v="02/28/2026"/>
    <s v="Praveen S"/>
    <s v="S"/>
    <s v="Praveen"/>
    <m/>
    <s v="active"/>
    <s v="He"/>
    <s v="India"/>
    <s v="praveens@tekion.com"/>
    <d v="2024-02-19T00:00:00"/>
    <n v="2.02"/>
    <s v="Senior Software Engineer"/>
    <s v="Software Engineering"/>
    <s v="P3B"/>
    <s v="Individual Contributor"/>
    <s v="8/27/2024"/>
    <x v="25"/>
    <s v="rmjayakumar@tekion.com"/>
    <s v="Engineering"/>
    <x v="0"/>
    <s v="teza@tekion.com"/>
    <x v="2"/>
    <s v="vijay@tekion.com"/>
    <m/>
    <m/>
    <s v="ic"/>
    <n v="1"/>
    <n v="1"/>
    <n v="1"/>
    <x v="0"/>
  </r>
  <r>
    <d v="2026-01-02T00:00:00"/>
    <s v="02/28/2026"/>
    <s v="Chellapilla Vamsee Mehar"/>
    <s v="Vamsee Mehar"/>
    <s v="Chellapilla"/>
    <m/>
    <s v="active"/>
    <s v="He/Him"/>
    <s v="India"/>
    <s v="cvamseemehar@tekion.com"/>
    <d v="2025-10-27T00:00:00"/>
    <n v="0.34"/>
    <s v="Associate Product Manager"/>
    <s v="Product Mgmt"/>
    <s v="P1"/>
    <s v="Individual Contributor"/>
    <s v="10/27/2025"/>
    <x v="26"/>
    <s v="rraja@tekion.com"/>
    <s v="Product Management"/>
    <x v="0"/>
    <s v="teza@tekion.com"/>
    <x v="4"/>
    <s v="slingutla@tekion.com"/>
    <m/>
    <m/>
    <s v="ic"/>
    <n v="1"/>
    <n v="1"/>
    <n v="2"/>
    <x v="0"/>
  </r>
  <r>
    <d v="2026-01-02T00:00:00"/>
    <s v="02/28/2026"/>
    <s v="Manikanda Sankar Ramasamy"/>
    <s v="Ramasamy"/>
    <s v="Manikanda Sankar"/>
    <s v="Asia/Calcutta"/>
    <s v="active"/>
    <s v="He/Him"/>
    <s v="India"/>
    <s v="mramasamy@tekion.com"/>
    <d v="2018-04-16T00:00:00"/>
    <n v="7.87"/>
    <s v="Senior Manager, Engineering"/>
    <s v="Software Engineering"/>
    <s v="M4"/>
    <s v="Management"/>
    <s v="12/19/2024"/>
    <x v="27"/>
    <s v="vijay@tekion.com"/>
    <s v="Engineering"/>
    <x v="0"/>
    <s v="teza@tekion.com"/>
    <x v="2"/>
    <s v="vijay@tekion.com"/>
    <m/>
    <m/>
    <s v="manager"/>
    <n v="0"/>
    <n v="0"/>
    <n v="1"/>
    <x v="0"/>
  </r>
  <r>
    <d v="2026-01-02T00:00:00"/>
    <s v="02/28/2026"/>
    <s v="Suresh Challa"/>
    <s v="Challa"/>
    <s v="Suresh"/>
    <m/>
    <s v="active"/>
    <m/>
    <s v="India"/>
    <s v="sureshch@tekion.com"/>
    <d v="2025-08-25T00:00:00"/>
    <n v="0.51"/>
    <s v="Software Engineer I"/>
    <s v="Software Engineering"/>
    <s v="P2"/>
    <s v="Individual Contributor"/>
    <s v="8/27/2024"/>
    <x v="28"/>
    <s v="ramjibs@tekion.com"/>
    <s v="Engineering"/>
    <x v="0"/>
    <s v="teza@tekion.com"/>
    <x v="2"/>
    <s v="vijay@tekion.com"/>
    <m/>
    <m/>
    <s v="ic"/>
    <n v="0"/>
    <n v="0"/>
    <n v="1"/>
    <x v="0"/>
  </r>
  <r>
    <d v="2026-01-02T00:00:00"/>
    <s v="02/28/2026"/>
    <s v="Manohar V"/>
    <s v="V"/>
    <s v="Manohar"/>
    <m/>
    <s v="active"/>
    <s v="He"/>
    <s v="India"/>
    <s v="manoharv@tekion.com"/>
    <d v="2021-04-12T00:00:00"/>
    <n v="4.88"/>
    <s v="Manager, Product Management"/>
    <s v="Product Mgmt"/>
    <s v="M3"/>
    <s v="Management"/>
    <s v="12/16/2024"/>
    <x v="29"/>
    <s v="rsarabu@tekion.com"/>
    <s v="Product Management"/>
    <x v="0"/>
    <s v="teza@tekion.com"/>
    <x v="0"/>
    <s v="rsarabu@tekion.com"/>
    <m/>
    <m/>
    <s v="manager"/>
    <n v="0"/>
    <n v="0"/>
    <n v="0"/>
    <x v="0"/>
  </r>
  <r>
    <d v="2026-01-02T00:00:00"/>
    <s v="02/28/2026"/>
    <s v="Harish Raghavendher V"/>
    <s v="Raghavendher V"/>
    <s v="Harish"/>
    <m/>
    <s v="active"/>
    <s v="He/Him"/>
    <s v="India"/>
    <s v="hraghavendherv@tekion.com"/>
    <d v="2025-11-06T00:00:00"/>
    <n v="0.31"/>
    <s v="Software Engineer I"/>
    <s v="Software Engineering"/>
    <s v="P2"/>
    <s v="Individual Contributor"/>
    <d v="2025-06-11T00:00:00"/>
    <x v="30"/>
    <s v="nvadlamani@tekion.com"/>
    <s v="Engineering"/>
    <x v="0"/>
    <s v="teza@tekion.com"/>
    <x v="0"/>
    <s v="rsarabu@tekion.com"/>
    <m/>
    <m/>
    <s v="ic"/>
    <n v="1"/>
    <n v="1"/>
    <n v="1"/>
    <x v="0"/>
  </r>
  <r>
    <d v="2026-01-02T00:00:00"/>
    <s v="02/28/2026"/>
    <s v="Sebastin Richard J"/>
    <s v="Richard J"/>
    <s v="Sebastin"/>
    <m/>
    <s v="active"/>
    <s v="He/Him"/>
    <s v="India"/>
    <s v="srichardj@tekion.com"/>
    <d v="2025-04-01T00:00:00"/>
    <n v="0.91"/>
    <s v="Lead Governance, Risk &amp; Compliance Analyst"/>
    <s v="Governance, Risk &amp; Compliance"/>
    <s v="P4"/>
    <s v="Individual Contributor"/>
    <s v="5/13/2025"/>
    <x v="31"/>
    <s v="jrnaik@tekion.com"/>
    <s v="IT"/>
    <x v="1"/>
    <s v="kbhattacharya@tekion.com"/>
    <x v="3"/>
    <s v="kbhattacharya@tekion.com"/>
    <m/>
    <m/>
    <s v="ic"/>
    <n v="0"/>
    <n v="0"/>
    <n v="4"/>
    <x v="0"/>
  </r>
  <r>
    <d v="2026-01-02T00:00:00"/>
    <s v="02/28/2026"/>
    <s v="DineshKumar S"/>
    <s v="S"/>
    <s v="DineshKumar"/>
    <m/>
    <s v="active"/>
    <s v="He"/>
    <s v="India"/>
    <s v="dineshkumars@tekion.com"/>
    <d v="2025-11-06T00:00:00"/>
    <n v="0.31"/>
    <s v="Business Applications Engineer"/>
    <s v="Business Applications"/>
    <s v="P3A"/>
    <s v="Individual Contributor"/>
    <d v="2025-06-11T00:00:00"/>
    <x v="24"/>
    <s v="venkaty@tekion.com"/>
    <s v="Engineering"/>
    <x v="0"/>
    <s v="teza@tekion.com"/>
    <x v="6"/>
    <s v="venkaty@tekion.com"/>
    <m/>
    <m/>
    <s v="ic"/>
    <n v="0"/>
    <n v="0"/>
    <n v="0"/>
    <x v="0"/>
  </r>
  <r>
    <d v="2026-01-02T00:00:00"/>
    <s v="02/28/2026"/>
    <s v="Sanjeevi S"/>
    <s v="S"/>
    <s v="Sanjeevi"/>
    <m/>
    <s v="active"/>
    <m/>
    <s v="India"/>
    <s v="sanjeevis@tekion.com"/>
    <d v="2021-11-09T00:00:00"/>
    <n v="4.3"/>
    <s v="Automation QA Engineer II"/>
    <s v="Automation QA"/>
    <s v="P3A"/>
    <s v="Individual Contributor"/>
    <d v="2025-10-04T00:00:00"/>
    <x v="4"/>
    <s v="schandravelu@tekion.com"/>
    <s v="Engineering"/>
    <x v="0"/>
    <s v="teza@tekion.com"/>
    <x v="0"/>
    <s v="rsarabu@tekion.com"/>
    <m/>
    <m/>
    <s v="ic"/>
    <n v="0"/>
    <n v="0"/>
    <n v="0"/>
    <x v="0"/>
  </r>
  <r>
    <d v="2026-01-02T00:00:00"/>
    <s v="02/28/2026"/>
    <s v="Maharashi M S"/>
    <s v="M S"/>
    <s v="Maharashi"/>
    <m/>
    <s v="active"/>
    <s v="She"/>
    <s v="India"/>
    <s v="maharashims@tekion.com"/>
    <d v="2022-07-14T00:00:00"/>
    <n v="3.62"/>
    <s v="Senior Software Engineer"/>
    <s v="Software Engineering"/>
    <s v="P3B"/>
    <s v="Individual Contributor"/>
    <d v="2025-10-04T00:00:00"/>
    <x v="23"/>
    <s v="nyadav@tekion.com"/>
    <s v="Engineering"/>
    <x v="0"/>
    <s v="teza@tekion.com"/>
    <x v="2"/>
    <s v="vijay@tekion.com"/>
    <m/>
    <m/>
    <s v="ic"/>
    <n v="1"/>
    <n v="1"/>
    <n v="1"/>
    <x v="0"/>
  </r>
  <r>
    <d v="2026-01-02T00:00:00"/>
    <s v="02/28/2026"/>
    <s v="Manikandan Ramakrishnan"/>
    <s v="Ramakrishnan"/>
    <s v="Manikandan"/>
    <m/>
    <s v="active"/>
    <s v="He"/>
    <s v="India"/>
    <s v="mramakrishnan@tekion.com"/>
    <d v="2022-03-07T00:00:00"/>
    <n v="3.97"/>
    <s v="Senior Software Engineer"/>
    <s v="Software Engineering"/>
    <s v="P3B"/>
    <s v="Individual Contributor"/>
    <d v="2025-10-04T00:00:00"/>
    <x v="22"/>
    <s v="svgovindarasan@tekion.com"/>
    <s v="Engineering"/>
    <x v="0"/>
    <s v="teza@tekion.com"/>
    <x v="2"/>
    <s v="vijay@tekion.com"/>
    <m/>
    <m/>
    <s v="ic"/>
    <n v="1"/>
    <n v="1"/>
    <n v="1"/>
    <x v="0"/>
  </r>
  <r>
    <d v="2026-01-02T00:00:00"/>
    <s v="02/28/2026"/>
    <s v="M Ranjitha"/>
    <s v="Ranjitha"/>
    <s v="M"/>
    <m/>
    <s v="active"/>
    <s v="She"/>
    <s v="India"/>
    <s v="rmani@tekion.com"/>
    <d v="2019-04-08T00:00:00"/>
    <n v="6.89"/>
    <s v="Software Engineer II"/>
    <s v="Software Engineering"/>
    <s v="P3A"/>
    <s v="Individual Contributor"/>
    <s v="8/27/2024"/>
    <x v="32"/>
    <s v="dmahadevan@tekion.com"/>
    <s v="Engineering"/>
    <x v="0"/>
    <s v="teza@tekion.com"/>
    <x v="0"/>
    <s v="rsarabu@tekion.com"/>
    <m/>
    <m/>
    <s v="ic"/>
    <n v="1"/>
    <n v="1"/>
    <n v="2"/>
    <x v="0"/>
  </r>
  <r>
    <d v="2026-01-02T00:00:00"/>
    <s v="02/28/2026"/>
    <s v="S Aiswarya Ragavi"/>
    <s v="Aiswarya Ragavi"/>
    <s v="S"/>
    <m/>
    <s v="active"/>
    <m/>
    <s v="India"/>
    <s v="aragavi@tekion.com"/>
    <d v="2021-09-13T00:00:00"/>
    <n v="4.46"/>
    <s v="Product Manager II"/>
    <s v="Product Mgmt"/>
    <s v="P3A"/>
    <s v="Individual Contributor"/>
    <d v="2025-10-04T00:00:00"/>
    <x v="33"/>
    <s v="balajij@tekion.com"/>
    <s v="Product Management"/>
    <x v="0"/>
    <s v="teza@tekion.com"/>
    <x v="4"/>
    <s v="slingutla@tekion.com"/>
    <m/>
    <m/>
    <s v="ic"/>
    <n v="2"/>
    <n v="1"/>
    <n v="5"/>
    <x v="0"/>
  </r>
  <r>
    <d v="2026-01-02T00:00:00"/>
    <s v="02/28/2026"/>
    <s v="Naveen U"/>
    <s v="U"/>
    <s v="Naveen"/>
    <m/>
    <s v="active"/>
    <m/>
    <s v="India"/>
    <s v="numasankar@tekion.com"/>
    <d v="2023-07-06T00:00:00"/>
    <n v="2.64"/>
    <s v="Software Engineer I"/>
    <s v="Software Engineering"/>
    <s v="P2"/>
    <s v="Individual Contributor"/>
    <d v="2025-02-11T00:00:00"/>
    <x v="14"/>
    <s v="vmsadasivan@tekion.com"/>
    <s v="Engineering"/>
    <x v="0"/>
    <s v="teza@tekion.com"/>
    <x v="2"/>
    <s v="vijay@tekion.com"/>
    <m/>
    <m/>
    <s v="ic"/>
    <n v="0"/>
    <n v="0"/>
    <n v="1"/>
    <x v="0"/>
  </r>
  <r>
    <d v="2026-01-02T00:00:00"/>
    <s v="02/28/2026"/>
    <s v="Prakash Ravindran"/>
    <s v="Ravindran"/>
    <s v="Prakash"/>
    <m/>
    <s v="active"/>
    <m/>
    <s v="India"/>
    <s v="pravindran@tekion.com"/>
    <d v="2021-05-03T00:00:00"/>
    <n v="4.82"/>
    <s v="Lead Software Engineer"/>
    <s v="Software Engineering"/>
    <s v="P4"/>
    <s v="Individual Contributor"/>
    <d v="2024-06-09T00:00:00"/>
    <x v="34"/>
    <s v="bsubramanian@tekion.com"/>
    <s v="Engineering"/>
    <x v="0"/>
    <s v="teza@tekion.com"/>
    <x v="2"/>
    <s v="vijay@tekion.com"/>
    <m/>
    <m/>
    <s v="manager"/>
    <n v="0"/>
    <n v="0"/>
    <n v="1"/>
    <x v="0"/>
  </r>
  <r>
    <d v="2026-01-02T00:00:00"/>
    <s v="02/28/2026"/>
    <s v="L G Krishna"/>
    <s v="Krishna"/>
    <s v="L G"/>
    <m/>
    <s v="active"/>
    <s v="He/Him"/>
    <s v="India"/>
    <s v="krishnag@tekion.com"/>
    <d v="2024-11-04T00:00:00"/>
    <n v="1.32"/>
    <s v="Senior IT Systems Engineer"/>
    <s v="IT Systems"/>
    <s v="P3"/>
    <s v="Individual Contributor"/>
    <s v="12/16/2024"/>
    <x v="18"/>
    <s v="jbouse@tekion.com"/>
    <s v="IT"/>
    <x v="0"/>
    <s v="teza@tekion.com"/>
    <x v="2"/>
    <s v="vijay@tekion.com"/>
    <m/>
    <m/>
    <s v="ic"/>
    <n v="0"/>
    <n v="0"/>
    <n v="0"/>
    <x v="0"/>
  </r>
  <r>
    <d v="2026-01-02T00:00:00"/>
    <s v="02/28/2026"/>
    <s v="Vigneshwar Nellaiyappan"/>
    <s v="Nellaiyappan"/>
    <s v="Vigneshwar"/>
    <s v="Asia/Calcutta"/>
    <s v="active"/>
    <m/>
    <s v="India"/>
    <s v="vnellaiyappan@tekion.com"/>
    <d v="2020-03-20T00:00:00"/>
    <n v="5.94"/>
    <s v="Senior Staff Software Engineer"/>
    <s v="Software Engineering"/>
    <s v="P5"/>
    <s v="Individual Contributor"/>
    <d v="2025-10-04T00:00:00"/>
    <x v="17"/>
    <s v="jmuthuram@tekion.com"/>
    <s v="Engineering"/>
    <x v="0"/>
    <s v="teza@tekion.com"/>
    <x v="0"/>
    <s v="rsarabu@tekion.com"/>
    <m/>
    <m/>
    <s v="manager"/>
    <n v="0"/>
    <n v="0"/>
    <n v="2"/>
    <x v="0"/>
  </r>
  <r>
    <d v="2026-01-02T00:00:00"/>
    <s v="02/28/2026"/>
    <s v="Sinuf Ahamed"/>
    <s v="Ahamed"/>
    <s v="Sinuf"/>
    <m/>
    <s v="active"/>
    <s v="He/Him/His"/>
    <s v="India"/>
    <s v="sinufas@tekion.com"/>
    <d v="2021-07-12T00:00:00"/>
    <n v="4.63"/>
    <s v="Senior Software Engineer"/>
    <s v="Software Engineering"/>
    <s v="P3B"/>
    <s v="Individual Contributor"/>
    <s v="8/27/2024"/>
    <x v="23"/>
    <s v="nyadav@tekion.com"/>
    <s v="Engineering"/>
    <x v="0"/>
    <s v="teza@tekion.com"/>
    <x v="2"/>
    <s v="vijay@tekion.com"/>
    <m/>
    <m/>
    <s v="ic"/>
    <n v="1"/>
    <n v="1"/>
    <n v="1"/>
    <x v="0"/>
  </r>
  <r>
    <d v="2026-01-02T00:00:00"/>
    <s v="02/28/2026"/>
    <s v="Praveen G"/>
    <s v="G"/>
    <s v="Praveen"/>
    <m/>
    <s v="active"/>
    <s v="He/Him"/>
    <s v="India"/>
    <s v="praveeng@tekion.com"/>
    <d v="2025-01-20T00:00:00"/>
    <n v="1.1100000000000001"/>
    <s v="Associate Product Manager"/>
    <s v="Product Mgmt"/>
    <s v="P1"/>
    <s v="Individual Contributor"/>
    <s v="5/13/2025"/>
    <x v="7"/>
    <s v="thilakgtn@tekion.com"/>
    <s v="Product Management"/>
    <x v="0"/>
    <s v="teza@tekion.com"/>
    <x v="4"/>
    <s v="slingutla@tekion.com"/>
    <m/>
    <m/>
    <s v="ic"/>
    <n v="0"/>
    <n v="0"/>
    <n v="0"/>
    <x v="0"/>
  </r>
  <r>
    <d v="2026-01-02T00:00:00"/>
    <s v="02/28/2026"/>
    <s v="Gayathree Tamil Selvan"/>
    <s v="Tamil Selvan"/>
    <s v="Gayathree"/>
    <m/>
    <s v="active"/>
    <m/>
    <s v="India"/>
    <s v="gayathreet@tekion.com"/>
    <d v="2024-05-13T00:00:00"/>
    <n v="1.79"/>
    <s v="Senior Software Engineer"/>
    <s v="Software Engineering"/>
    <s v="P3B"/>
    <s v="Individual Contributor"/>
    <s v="8/27/2024"/>
    <x v="25"/>
    <s v="rmjayakumar@tekion.com"/>
    <s v="Engineering"/>
    <x v="0"/>
    <s v="teza@tekion.com"/>
    <x v="2"/>
    <s v="vijay@tekion.com"/>
    <m/>
    <m/>
    <s v="ic"/>
    <n v="1"/>
    <n v="1"/>
    <n v="1"/>
    <x v="0"/>
  </r>
  <r>
    <d v="2026-01-02T00:00:00"/>
    <s v="02/28/2026"/>
    <s v="Sathish S"/>
    <s v="S"/>
    <s v="Sathish"/>
    <s v="Asia/Kolkata"/>
    <s v="active"/>
    <m/>
    <s v="India"/>
    <s v="ssathish@tekion.com"/>
    <d v="2024-05-16T00:00:00"/>
    <n v="1.78"/>
    <s v="Senior Software Engineer"/>
    <s v="Software Engineering"/>
    <s v="P3B"/>
    <s v="Individual Contributor"/>
    <s v="8/27/2024"/>
    <x v="10"/>
    <s v="pravindran@tekion.com"/>
    <s v="Engineering"/>
    <x v="0"/>
    <s v="teza@tekion.com"/>
    <x v="2"/>
    <s v="vijay@tekion.com"/>
    <m/>
    <m/>
    <s v="ic"/>
    <n v="1"/>
    <n v="1"/>
    <n v="1"/>
    <x v="0"/>
  </r>
  <r>
    <d v="2026-01-02T00:00:00"/>
    <s v="02/28/2026"/>
    <s v="Abhinav Chourasia"/>
    <s v="Chourasia"/>
    <s v="Abhinav"/>
    <m/>
    <s v="active"/>
    <s v="He"/>
    <s v="India"/>
    <s v="achourasia@tekion.com"/>
    <d v="2020-10-14T00:00:00"/>
    <n v="5.37"/>
    <s v="Director, Security Engineering"/>
    <s v="Security Engineering"/>
    <s v="M5"/>
    <s v="Management"/>
    <s v="8/27/2024"/>
    <x v="5"/>
    <s v="kbhattacharya@tekion.com"/>
    <s v="Engineering"/>
    <x v="1"/>
    <s v="kbhattacharya@tekion.com"/>
    <x v="3"/>
    <s v="kbhattacharya@tekion.com"/>
    <m/>
    <m/>
    <s v="manager"/>
    <n v="4"/>
    <n v="1"/>
    <n v="4"/>
    <x v="0"/>
  </r>
  <r>
    <d v="2026-01-02T00:00:00"/>
    <s v="02/28/2026"/>
    <s v="Santosh C R"/>
    <s v="C R"/>
    <s v="Santosh"/>
    <m/>
    <s v="active"/>
    <m/>
    <s v="India"/>
    <s v="santoshcr@tekion.com"/>
    <d v="2022-02-10T00:00:00"/>
    <n v="4.05"/>
    <s v="Senior Application Support Engineer"/>
    <s v="Application Support"/>
    <s v="P3B"/>
    <s v="Individual Contributor"/>
    <s v="12/16/2024"/>
    <x v="35"/>
    <s v="vdhanigaivel@tekion.com"/>
    <s v="Engineering"/>
    <x v="0"/>
    <s v="teza@tekion.com"/>
    <x v="2"/>
    <s v="vijay@tekion.com"/>
    <m/>
    <m/>
    <s v="ic"/>
    <n v="0"/>
    <n v="0"/>
    <n v="1"/>
    <x v="0"/>
  </r>
  <r>
    <d v="2026-01-02T00:00:00"/>
    <s v="02/28/2026"/>
    <s v="Gopinath V"/>
    <s v="V"/>
    <s v="Gopinath"/>
    <m/>
    <s v="active"/>
    <m/>
    <s v="India"/>
    <s v="gopinathv@tekion.com"/>
    <d v="2023-04-06T00:00:00"/>
    <n v="2.89"/>
    <s v="Associate Software Engineer"/>
    <s v="Software Engineering"/>
    <s v="P1"/>
    <s v="Individual Contributor"/>
    <d v="2025-08-10T00:00:00"/>
    <x v="36"/>
    <s v="mmohamed@tekion.com"/>
    <s v="Engineering"/>
    <x v="0"/>
    <s v="teza@tekion.com"/>
    <x v="2"/>
    <s v="vijay@tekion.com"/>
    <m/>
    <m/>
    <s v="ic"/>
    <n v="1"/>
    <n v="1"/>
    <n v="1"/>
    <x v="0"/>
  </r>
  <r>
    <d v="2026-01-02T00:00:00"/>
    <s v="02/28/2026"/>
    <s v="Gowtham Sarveswaran"/>
    <s v="Sarveswaran"/>
    <s v="Gowtham"/>
    <m/>
    <s v="active"/>
    <s v="He"/>
    <s v="India"/>
    <s v="gsarveswaran@tekion.com"/>
    <d v="2021-06-14T00:00:00"/>
    <n v="4.71"/>
    <s v="Manager, IT Technical Support"/>
    <s v="IT Technical Support"/>
    <s v="M3"/>
    <s v="Management"/>
    <s v="8/27/2024"/>
    <x v="37"/>
    <s v="raja@tekion.com"/>
    <s v="IT"/>
    <x v="0"/>
    <s v="teza@tekion.com"/>
    <x v="2"/>
    <s v="vijay@tekion.com"/>
    <m/>
    <m/>
    <s v="ic"/>
    <n v="0"/>
    <n v="0"/>
    <n v="2"/>
    <x v="0"/>
  </r>
  <r>
    <d v="2026-01-02T00:00:00"/>
    <s v="02/28/2026"/>
    <s v="Shalini Sakthivel"/>
    <s v="Sakthivel"/>
    <s v="Shalini"/>
    <m/>
    <s v="active"/>
    <s v="She/Her"/>
    <s v="India"/>
    <s v="shalinis@tekion.com"/>
    <d v="2023-05-29T00:00:00"/>
    <n v="2.75"/>
    <s v="Product Manager I"/>
    <s v="Product Mgmt"/>
    <s v="P2"/>
    <s v="Individual Contributor"/>
    <s v="8/26/2025"/>
    <x v="7"/>
    <s v="thilakgtn@tekion.com"/>
    <s v="Product Management"/>
    <x v="0"/>
    <s v="teza@tekion.com"/>
    <x v="4"/>
    <s v="slingutla@tekion.com"/>
    <m/>
    <m/>
    <s v="ic"/>
    <n v="0"/>
    <n v="0"/>
    <n v="2"/>
    <x v="0"/>
  </r>
  <r>
    <d v="2026-01-02T00:00:00"/>
    <s v="02/28/2026"/>
    <s v="Jaimon Varghese"/>
    <s v="Varghese"/>
    <s v="Jaimon"/>
    <m/>
    <s v="active"/>
    <s v="He"/>
    <s v="India"/>
    <s v="jvarghese@tekion.com"/>
    <d v="2022-05-16T00:00:00"/>
    <n v="3.78"/>
    <s v="Staff Application Support Engineer"/>
    <s v="Application Support"/>
    <s v="P4"/>
    <s v="Individual Contributor"/>
    <s v="8/27/2024"/>
    <x v="35"/>
    <s v="vdhanigaivel@tekion.com"/>
    <s v="Engineering"/>
    <x v="0"/>
    <s v="teza@tekion.com"/>
    <x v="2"/>
    <s v="vijay@tekion.com"/>
    <m/>
    <m/>
    <s v="ic"/>
    <n v="0"/>
    <n v="0"/>
    <n v="0"/>
    <x v="0"/>
  </r>
  <r>
    <d v="2026-01-02T00:00:00"/>
    <s v="02/28/2026"/>
    <s v="Pradeep Kumar"/>
    <s v="Kumar"/>
    <s v="Pradeep"/>
    <m/>
    <s v="active"/>
    <s v="He/One/They"/>
    <s v="India"/>
    <s v="pradeepk@tekion.com"/>
    <d v="2021-12-27T00:00:00"/>
    <n v="4.17"/>
    <s v="Software Engineer I"/>
    <s v="Software Engineering"/>
    <s v="P2"/>
    <s v="Individual Contributor"/>
    <d v="2025-10-04T00:00:00"/>
    <x v="38"/>
    <s v="jkumar@tekion.com"/>
    <s v="Engineering"/>
    <x v="0"/>
    <s v="teza@tekion.com"/>
    <x v="2"/>
    <s v="vijay@tekion.com"/>
    <m/>
    <m/>
    <s v="ic"/>
    <n v="1"/>
    <n v="1"/>
    <n v="1"/>
    <x v="0"/>
  </r>
  <r>
    <d v="2026-01-02T00:00:00"/>
    <s v="02/28/2026"/>
    <s v="Priyadharshini Padmanaban"/>
    <s v="Padmanaban"/>
    <s v="Priyadharshini"/>
    <s v="Asia/Calcutta"/>
    <s v="active"/>
    <s v="She/Her/They"/>
    <s v="India"/>
    <s v="priyadharshinip@tekion.com"/>
    <d v="2022-03-31T00:00:00"/>
    <n v="3.92"/>
    <s v="Software Engineer I"/>
    <s v="Software Engineering"/>
    <s v="P2"/>
    <s v="Individual Contributor"/>
    <d v="2025-10-04T00:00:00"/>
    <x v="23"/>
    <s v="nyadav@tekion.com"/>
    <s v="Engineering"/>
    <x v="0"/>
    <s v="teza@tekion.com"/>
    <x v="2"/>
    <s v="vijay@tekion.com"/>
    <m/>
    <m/>
    <s v="ic"/>
    <n v="1"/>
    <n v="1"/>
    <n v="1"/>
    <x v="0"/>
  </r>
  <r>
    <d v="2026-01-02T00:00:00"/>
    <s v="02/28/2026"/>
    <s v="Ramasamy S"/>
    <s v="S"/>
    <s v="Ramasamy"/>
    <m/>
    <s v="active"/>
    <m/>
    <s v="India"/>
    <s v="ramasamys@tekion.com"/>
    <d v="2022-01-31T00:00:00"/>
    <n v="4.08"/>
    <s v="Software Engineer I"/>
    <s v="Software Engineering"/>
    <s v="P2"/>
    <s v="Individual Contributor"/>
    <d v="2025-10-04T00:00:00"/>
    <x v="36"/>
    <s v="mmohamed@tekion.com"/>
    <s v="Engineering"/>
    <x v="0"/>
    <s v="teza@tekion.com"/>
    <x v="2"/>
    <s v="vijay@tekion.com"/>
    <m/>
    <m/>
    <s v="ic"/>
    <n v="1"/>
    <n v="1"/>
    <n v="3"/>
    <x v="0"/>
  </r>
  <r>
    <d v="2026-01-02T00:00:00"/>
    <s v="02/28/2026"/>
    <s v="Sasikumar A S"/>
    <s v="A S"/>
    <s v="Sasikumar"/>
    <m/>
    <s v="active"/>
    <s v="He"/>
    <s v="India"/>
    <s v="sasikumaras@tekion.com"/>
    <d v="2024-04-18T00:00:00"/>
    <n v="1.86"/>
    <s v="Associate QA Engineer"/>
    <s v="QA"/>
    <s v="P1"/>
    <s v="Individual Contributor"/>
    <s v="8/27/2024"/>
    <x v="4"/>
    <s v="schandravelu@tekion.com"/>
    <s v="Engineering"/>
    <x v="0"/>
    <s v="teza@tekion.com"/>
    <x v="0"/>
    <s v="rsarabu@tekion.com"/>
    <m/>
    <m/>
    <s v="ic"/>
    <n v="0"/>
    <n v="0"/>
    <n v="0"/>
    <x v="0"/>
  </r>
  <r>
    <d v="2026-01-02T00:00:00"/>
    <s v="02/28/2026"/>
    <s v="Adhithya R"/>
    <s v="R"/>
    <s v="Adhithya"/>
    <m/>
    <s v="active"/>
    <m/>
    <s v="India"/>
    <s v="adhithyar@tekion.com"/>
    <d v="2024-04-04T00:00:00"/>
    <n v="1.9"/>
    <s v="Associate QA Engineer"/>
    <s v="QA"/>
    <s v="P1"/>
    <s v="Individual Contributor"/>
    <s v="8/27/2024"/>
    <x v="39"/>
    <s v="ssamuthirapandi@tekion.com"/>
    <s v="Engineering"/>
    <x v="0"/>
    <s v="teza@tekion.com"/>
    <x v="0"/>
    <s v="rsarabu@tekion.com"/>
    <m/>
    <m/>
    <s v="ic"/>
    <n v="0"/>
    <n v="0"/>
    <n v="0"/>
    <x v="0"/>
  </r>
  <r>
    <d v="2026-01-02T00:00:00"/>
    <s v="02/28/2026"/>
    <s v="Raja Anandan"/>
    <s v="Anandan"/>
    <s v="Raja"/>
    <m/>
    <s v="active"/>
    <m/>
    <s v="India"/>
    <s v="raja@tekion.com"/>
    <d v="2025-08-04T00:00:00"/>
    <n v="0.56999999999999995"/>
    <s v="Senior Manager, IT Technical Support"/>
    <s v="IT Technical Support"/>
    <s v="M4"/>
    <s v="Management"/>
    <d v="2025-04-08T00:00:00"/>
    <x v="18"/>
    <s v="jbouse@tekion.com"/>
    <s v="IT"/>
    <x v="0"/>
    <s v="teza@tekion.com"/>
    <x v="2"/>
    <s v="vijay@tekion.com"/>
    <m/>
    <m/>
    <s v="manager"/>
    <n v="0"/>
    <n v="0"/>
    <n v="0"/>
    <x v="0"/>
  </r>
  <r>
    <d v="2026-01-02T00:00:00"/>
    <s v="02/28/2026"/>
    <s v="Raj Narayanan"/>
    <s v="Narayanan"/>
    <s v="Raj"/>
    <m/>
    <s v="active"/>
    <m/>
    <s v="India"/>
    <s v="rnarayanan@tekion.com"/>
    <d v="2021-06-28T00:00:00"/>
    <n v="4.67"/>
    <s v="Software Engineer I"/>
    <s v="Software Engineering"/>
    <s v="P2"/>
    <s v="Individual Contributor"/>
    <s v="8/27/2024"/>
    <x v="12"/>
    <s v="smanian@tekion.com"/>
    <s v="Engineering"/>
    <x v="0"/>
    <s v="teza@tekion.com"/>
    <x v="2"/>
    <s v="vijay@tekion.com"/>
    <m/>
    <m/>
    <s v="ic"/>
    <n v="2"/>
    <n v="1"/>
    <n v="2"/>
    <x v="0"/>
  </r>
  <r>
    <d v="2026-01-02T00:00:00"/>
    <s v="02/28/2026"/>
    <s v="Mohammed Nishad M"/>
    <s v="Nishad M"/>
    <s v="Mohammed"/>
    <m/>
    <s v="active"/>
    <s v="He/Him/His"/>
    <s v="India"/>
    <s v="mohammedm@tekion.com"/>
    <d v="2025-09-29T00:00:00"/>
    <n v="0.42"/>
    <s v="Senior Security Engineer"/>
    <s v="Security Engineering"/>
    <s v="P3B"/>
    <s v="Individual Contributor"/>
    <s v="9/29/2025"/>
    <x v="40"/>
    <s v="kpunna@tekion.com"/>
    <s v="Engineering"/>
    <x v="1"/>
    <s v="kbhattacharya@tekion.com"/>
    <x v="3"/>
    <s v="kbhattacharya@tekion.com"/>
    <m/>
    <m/>
    <s v="ic"/>
    <n v="0"/>
    <n v="0"/>
    <n v="2"/>
    <x v="0"/>
  </r>
  <r>
    <d v="2026-01-02T00:00:00"/>
    <s v="02/28/2026"/>
    <s v="Sudhagar Subakarnan"/>
    <s v="Subakarnan"/>
    <s v="Sudhagar"/>
    <m/>
    <s v="active"/>
    <s v="He/Him"/>
    <s v="India"/>
    <s v="sudhagars@tekion.com"/>
    <d v="2024-09-02T00:00:00"/>
    <n v="1.49"/>
    <s v="Staff Salesforce Engineer"/>
    <s v="Business Applications"/>
    <s v="P4"/>
    <s v="Individual Contributor"/>
    <s v="12/16/2024"/>
    <x v="24"/>
    <s v="venkaty@tekion.com"/>
    <s v="Engineering"/>
    <x v="0"/>
    <s v="teza@tekion.com"/>
    <x v="6"/>
    <s v="venkaty@tekion.com"/>
    <m/>
    <m/>
    <s v="ic"/>
    <n v="0"/>
    <n v="0"/>
    <n v="0"/>
    <x v="0"/>
  </r>
  <r>
    <d v="2026-01-02T00:00:00"/>
    <s v="02/28/2026"/>
    <s v="Ajaykrishna S"/>
    <s v="S"/>
    <s v="Ajaykrishna"/>
    <m/>
    <s v="active"/>
    <m/>
    <s v="India"/>
    <s v="ajaykrishnas@tekion.com"/>
    <d v="2023-10-01T00:00:00"/>
    <n v="2.41"/>
    <s v="Software Engineer I"/>
    <s v="Software Engineering"/>
    <s v="P2"/>
    <s v="Individual Contributor"/>
    <d v="2025-02-11T00:00:00"/>
    <x v="9"/>
    <s v="mrackmann@tekion.com"/>
    <s v="Engineering"/>
    <x v="0"/>
    <s v="teza@tekion.com"/>
    <x v="2"/>
    <s v="vijay@tekion.com"/>
    <m/>
    <m/>
    <s v="ic"/>
    <n v="0"/>
    <n v="0"/>
    <n v="1"/>
    <x v="0"/>
  </r>
  <r>
    <d v="2026-01-02T00:00:00"/>
    <s v="02/28/2026"/>
    <s v="Srinithi S"/>
    <s v="S"/>
    <s v="Srinithi"/>
    <m/>
    <s v="active"/>
    <m/>
    <s v="India"/>
    <s v="srinithis@tekion.com"/>
    <d v="2026-01-12T00:00:00"/>
    <n v="0.13"/>
    <s v="Software Engineer I"/>
    <s v="Software Engineering"/>
    <s v="P2"/>
    <s v="Individual Contributor"/>
    <d v="2026-12-01T00:00:00"/>
    <x v="22"/>
    <s v="svgovindarasan@tekion.com"/>
    <s v="Engineering"/>
    <x v="0"/>
    <s v="teza@tekion.com"/>
    <x v="2"/>
    <s v="vijay@tekion.com"/>
    <m/>
    <m/>
    <s v="ic"/>
    <n v="1"/>
    <n v="1"/>
    <n v="2"/>
    <x v="0"/>
  </r>
  <r>
    <d v="2026-01-02T00:00:00"/>
    <s v="02/28/2026"/>
    <s v="Raghu Mani"/>
    <s v="Mani"/>
    <s v="Raghu"/>
    <m/>
    <s v="active"/>
    <m/>
    <s v="India"/>
    <s v="raghum@tekion.com"/>
    <d v="2021-12-02T00:00:00"/>
    <n v="4.24"/>
    <s v="Senior Software Engineer"/>
    <s v="Software Engineering"/>
    <s v="P3B"/>
    <s v="Individual Contributor"/>
    <s v="8/27/2024"/>
    <x v="2"/>
    <s v="knatarajan@tekion.com"/>
    <s v="Engineering"/>
    <x v="0"/>
    <s v="teza@tekion.com"/>
    <x v="2"/>
    <s v="vijay@tekion.com"/>
    <m/>
    <m/>
    <s v="ic"/>
    <n v="0"/>
    <n v="0"/>
    <n v="1"/>
    <x v="0"/>
  </r>
  <r>
    <d v="2026-01-02T00:00:00"/>
    <s v="02/28/2026"/>
    <s v="Kiruthiga P"/>
    <s v="P"/>
    <s v="Kiruthiga"/>
    <m/>
    <s v="active"/>
    <m/>
    <s v="India"/>
    <s v="kiruthigap@tekion.com"/>
    <d v="2023-10-01T00:00:00"/>
    <n v="2.41"/>
    <s v="Software Engineer I"/>
    <s v="Software Engineering"/>
    <s v="P2"/>
    <s v="Individual Contributor"/>
    <d v="2025-02-11T00:00:00"/>
    <x v="15"/>
    <s v="sivas@tekion.com"/>
    <s v="Engineering"/>
    <x v="0"/>
    <s v="teza@tekion.com"/>
    <x v="0"/>
    <s v="rsarabu@tekion.com"/>
    <m/>
    <m/>
    <s v="ic"/>
    <n v="0"/>
    <n v="0"/>
    <n v="4"/>
    <x v="0"/>
  </r>
  <r>
    <d v="2026-01-02T00:00:00"/>
    <s v="02/28/2026"/>
    <s v="Muthu Balasubramanian P"/>
    <s v="P"/>
    <s v="Muthu Balasubramanian"/>
    <s v="Asia/Calcutta"/>
    <s v="active"/>
    <m/>
    <s v="India"/>
    <s v="muthub@tekion.com"/>
    <d v="2022-12-29T00:00:00"/>
    <n v="3.17"/>
    <s v="Software Engineer I"/>
    <s v="Software Engineering"/>
    <s v="P2"/>
    <s v="Individual Contributor"/>
    <d v="2025-02-11T00:00:00"/>
    <x v="2"/>
    <s v="knatarajan@tekion.com"/>
    <s v="Engineering"/>
    <x v="0"/>
    <s v="teza@tekion.com"/>
    <x v="2"/>
    <s v="vijay@tekion.com"/>
    <m/>
    <m/>
    <s v="ic"/>
    <n v="0"/>
    <n v="0"/>
    <n v="1"/>
    <x v="0"/>
  </r>
  <r>
    <d v="2026-01-02T00:00:00"/>
    <s v="02/28/2026"/>
    <s v="Sahil Poonia"/>
    <s v="Poonia"/>
    <s v="Sahil"/>
    <m/>
    <s v="active"/>
    <s v="He/Him"/>
    <s v="India"/>
    <s v="spoonia@tekion.com"/>
    <d v="2025-11-17T00:00:00"/>
    <n v="0.28000000000000003"/>
    <s v="IT Security Ops Engineer"/>
    <s v="Security Operations"/>
    <s v="P2"/>
    <s v="Individual Contributor"/>
    <s v="11/17/2025"/>
    <x v="18"/>
    <s v="jbouse@tekion.com"/>
    <s v="IT"/>
    <x v="0"/>
    <s v="teza@tekion.com"/>
    <x v="2"/>
    <s v="vijay@tekion.com"/>
    <m/>
    <m/>
    <s v="ic"/>
    <n v="0"/>
    <n v="0"/>
    <n v="0"/>
    <x v="0"/>
  </r>
  <r>
    <d v="2026-01-02T00:00:00"/>
    <s v="02/28/2026"/>
    <s v="P Ganga Prasad"/>
    <s v="Prasad"/>
    <s v="P Ganga"/>
    <m/>
    <s v="active"/>
    <s v="Mr"/>
    <s v="India"/>
    <s v="gprasad@tekion.com"/>
    <d v="2025-08-04T00:00:00"/>
    <n v="0.56999999999999995"/>
    <s v="Software Engineer II"/>
    <s v="Software Engineering"/>
    <s v="P3A"/>
    <s v="Individual Contributor"/>
    <d v="2025-04-08T00:00:00"/>
    <x v="19"/>
    <s v="thiyagarasank@tekion.com"/>
    <s v="Engineering"/>
    <x v="0"/>
    <s v="teza@tekion.com"/>
    <x v="6"/>
    <s v="venkaty@tekion.com"/>
    <m/>
    <m/>
    <s v="ic"/>
    <n v="0"/>
    <n v="0"/>
    <n v="2"/>
    <x v="0"/>
  </r>
  <r>
    <d v="2026-01-02T00:00:00"/>
    <s v="02/28/2026"/>
    <s v="Ajin Piones"/>
    <s v="Piones"/>
    <s v="Ajin"/>
    <m/>
    <s v="active"/>
    <m/>
    <s v="India"/>
    <s v="apiones@tekion.com"/>
    <d v="2025-03-17T00:00:00"/>
    <n v="0.95"/>
    <s v="Application Support Engineer I"/>
    <s v="Application Support"/>
    <s v="P2"/>
    <s v="Individual Contributor"/>
    <s v="5/13/2025"/>
    <x v="35"/>
    <s v="vdhanigaivel@tekion.com"/>
    <s v="Engineering"/>
    <x v="0"/>
    <s v="teza@tekion.com"/>
    <x v="2"/>
    <s v="vijay@tekion.com"/>
    <m/>
    <m/>
    <s v="ic"/>
    <n v="0"/>
    <n v="0"/>
    <n v="0"/>
    <x v="0"/>
  </r>
  <r>
    <d v="2026-01-02T00:00:00"/>
    <s v="02/28/2026"/>
    <s v="Aravind R"/>
    <s v="R"/>
    <s v="Aravind"/>
    <m/>
    <s v="active"/>
    <s v="He/Him"/>
    <s v="India"/>
    <s v="aravindr@tekion.com"/>
    <d v="2026-02-05T00:00:00"/>
    <n v="0.06"/>
    <s v="Senior Product Manager"/>
    <s v="Product Mgmt"/>
    <s v="P3B"/>
    <s v="Individual Contributor"/>
    <d v="2026-05-02T00:00:00"/>
    <x v="41"/>
    <s v="manoharv@tekion.com"/>
    <s v="Product Management"/>
    <x v="0"/>
    <s v="teza@tekion.com"/>
    <x v="0"/>
    <s v="rsarabu@tekion.com"/>
    <m/>
    <m/>
    <s v="ic"/>
    <n v="0"/>
    <n v="0"/>
    <n v="0"/>
    <x v="0"/>
  </r>
  <r>
    <d v="2026-01-02T00:00:00"/>
    <s v="02/28/2026"/>
    <s v="Balaji Raja"/>
    <s v="Raja"/>
    <s v="Balaji"/>
    <s v="Asia/Calcutta"/>
    <s v="active"/>
    <m/>
    <s v="India"/>
    <s v="braja@tekion.com"/>
    <d v="2022-10-20T00:00:00"/>
    <n v="3.36"/>
    <s v="Automation QA Engineer I"/>
    <s v="Automation QA"/>
    <s v="P2"/>
    <s v="Individual Contributor"/>
    <s v="8/27/2024"/>
    <x v="16"/>
    <s v="jpacha@tekion.com"/>
    <s v="Engineering"/>
    <x v="0"/>
    <s v="teza@tekion.com"/>
    <x v="0"/>
    <s v="rsarabu@tekion.com"/>
    <m/>
    <m/>
    <s v="ic"/>
    <n v="0"/>
    <n v="0"/>
    <n v="1"/>
    <x v="0"/>
  </r>
  <r>
    <d v="2026-01-02T00:00:00"/>
    <s v="02/28/2026"/>
    <s v="Padmapriya V"/>
    <s v="V"/>
    <s v="Padmapriya"/>
    <m/>
    <s v="active"/>
    <m/>
    <s v="India"/>
    <s v="padmapriyav@tekion.com"/>
    <d v="2023-01-19T00:00:00"/>
    <n v="3.11"/>
    <s v="Senior Automation QA Engineer"/>
    <s v="Automation QA"/>
    <s v="P3B"/>
    <s v="Individual Contributor"/>
    <d v="2025-10-04T00:00:00"/>
    <x v="16"/>
    <s v="jpacha@tekion.com"/>
    <s v="Engineering"/>
    <x v="0"/>
    <s v="teza@tekion.com"/>
    <x v="0"/>
    <s v="rsarabu@tekion.com"/>
    <m/>
    <m/>
    <s v="ic"/>
    <n v="0"/>
    <n v="0"/>
    <n v="1"/>
    <x v="0"/>
  </r>
  <r>
    <d v="2026-01-02T00:00:00"/>
    <s v="02/28/2026"/>
    <s v="Prabakaran Balasubramaniam"/>
    <s v="Balasubramaniam"/>
    <s v="Prabakaran"/>
    <s v="America/Los_Angeles"/>
    <s v="active"/>
    <s v="He"/>
    <s v="India"/>
    <s v="pbalasubramaniam@tekion.com"/>
    <d v="2021-09-27T00:00:00"/>
    <n v="4.42"/>
    <s v="Associate Manager, IT Technical Support"/>
    <s v="IT Technical Support"/>
    <s v="M2"/>
    <s v="Management"/>
    <d v="2024-06-09T00:00:00"/>
    <x v="37"/>
    <s v="raja@tekion.com"/>
    <s v="IT"/>
    <x v="0"/>
    <s v="teza@tekion.com"/>
    <x v="2"/>
    <s v="vijay@tekion.com"/>
    <m/>
    <m/>
    <s v="manager"/>
    <n v="0"/>
    <n v="0"/>
    <n v="2"/>
    <x v="0"/>
  </r>
  <r>
    <d v="2026-01-02T00:00:00"/>
    <s v="02/28/2026"/>
    <s v="Budde Prashanth"/>
    <s v="Prashanth"/>
    <s v="Budde"/>
    <m/>
    <s v="active"/>
    <m/>
    <s v="India"/>
    <s v="bprashanth@tekion.com"/>
    <d v="2021-09-13T00:00:00"/>
    <n v="4.46"/>
    <s v="Manager, Security Engineering"/>
    <s v="Security Engineering"/>
    <s v="M3"/>
    <s v="Management"/>
    <s v="5/13/2025"/>
    <x v="13"/>
    <s v="achourasia@tekion.com"/>
    <s v="Engineering"/>
    <x v="1"/>
    <s v="kbhattacharya@tekion.com"/>
    <x v="5"/>
    <s v="achourasia@tekion.com"/>
    <m/>
    <m/>
    <s v="manager"/>
    <n v="0"/>
    <n v="0"/>
    <n v="0"/>
    <x v="0"/>
  </r>
  <r>
    <d v="2026-01-02T00:00:00"/>
    <s v="02/28/2026"/>
    <s v="Praveen Kumar"/>
    <s v="Kumar"/>
    <s v="Praveen"/>
    <m/>
    <s v="active"/>
    <s v="He/Him"/>
    <s v="India"/>
    <s v="kumarp@tekion.com"/>
    <d v="2025-11-06T00:00:00"/>
    <n v="0.31"/>
    <s v="Senior Business Applications Engineer"/>
    <s v="Business Applications"/>
    <s v="P3B"/>
    <s v="Individual Contributor"/>
    <d v="2025-06-11T00:00:00"/>
    <x v="1"/>
    <s v="jvenkatraman@tekion.com"/>
    <s v="Engineering"/>
    <x v="0"/>
    <s v="teza@tekion.com"/>
    <x v="1"/>
    <s v="jswaminathan@tekion.com"/>
    <m/>
    <m/>
    <s v="ic"/>
    <n v="0"/>
    <n v="0"/>
    <n v="0"/>
    <x v="0"/>
  </r>
  <r>
    <d v="2026-01-02T00:00:00"/>
    <s v="02/28/2026"/>
    <s v="Soma Sundaram M"/>
    <s v="Sundaram M"/>
    <s v="Soma"/>
    <m/>
    <s v="active"/>
    <m/>
    <s v="India"/>
    <s v="ssoma@tekion.com"/>
    <d v="2025-01-02T00:00:00"/>
    <n v="1.1499999999999999"/>
    <s v="Associate Application Support Engineer"/>
    <s v="Application Support"/>
    <s v="P1"/>
    <s v="Individual Contributor"/>
    <s v="5/13/2025"/>
    <x v="35"/>
    <s v="vdhanigaivel@tekion.com"/>
    <s v="Engineering"/>
    <x v="0"/>
    <s v="teza@tekion.com"/>
    <x v="2"/>
    <s v="vijay@tekion.com"/>
    <m/>
    <m/>
    <s v="ic"/>
    <n v="0"/>
    <n v="0"/>
    <n v="0"/>
    <x v="0"/>
  </r>
  <r>
    <d v="2026-01-02T00:00:00"/>
    <s v="02/28/2026"/>
    <s v="Poongothai Sampath"/>
    <s v="Sampath"/>
    <s v="Poongothai"/>
    <m/>
    <s v="active"/>
    <s v="She/Her"/>
    <s v="India"/>
    <s v="psampath@tekion.com"/>
    <d v="2025-03-03T00:00:00"/>
    <n v="0.99"/>
    <s v="Staff Software Engineer"/>
    <s v="Software Engineering"/>
    <s v="P4"/>
    <s v="Individual Contributor"/>
    <s v="5/13/2025"/>
    <x v="15"/>
    <s v="sivas@tekion.com"/>
    <s v="Engineering"/>
    <x v="0"/>
    <s v="teza@tekion.com"/>
    <x v="0"/>
    <s v="rsarabu@tekion.com"/>
    <m/>
    <m/>
    <s v="ic"/>
    <n v="0"/>
    <n v="0"/>
    <n v="4"/>
    <x v="0"/>
  </r>
  <r>
    <d v="2026-01-02T00:00:00"/>
    <s v="02/28/2026"/>
    <s v="Thiyagu Kothandan"/>
    <s v="Kothandan"/>
    <s v="Thiyagu"/>
    <m/>
    <s v="active"/>
    <s v="He/Him"/>
    <s v="India"/>
    <s v="thiyagarasank@tekion.com"/>
    <d v="2024-11-28T00:00:00"/>
    <n v="1.25"/>
    <s v="Staff Software Engineer"/>
    <s v="Software Engineering"/>
    <s v="P4"/>
    <s v="Individual Contributor"/>
    <s v="11/28/2024"/>
    <x v="24"/>
    <s v="venkaty@tekion.com"/>
    <s v="Engineering"/>
    <x v="0"/>
    <s v="teza@tekion.com"/>
    <x v="6"/>
    <s v="venkaty@tekion.com"/>
    <m/>
    <m/>
    <s v="manager"/>
    <n v="0"/>
    <n v="0"/>
    <n v="0"/>
    <x v="0"/>
  </r>
  <r>
    <d v="2026-01-02T00:00:00"/>
    <s v="02/28/2026"/>
    <s v="Bharathi Raja Senthuraman"/>
    <s v="Raja Senthuraman"/>
    <s v="Bharathi"/>
    <m/>
    <s v="active"/>
    <s v="He"/>
    <s v="India"/>
    <s v="brsenthuraman@tekion.com"/>
    <d v="2021-06-28T00:00:00"/>
    <n v="4.67"/>
    <s v="Lead Software Engineer"/>
    <s v="Software Engineering"/>
    <s v="P4"/>
    <s v="Individual Contributor"/>
    <d v="2024-06-09T00:00:00"/>
    <x v="42"/>
    <s v="csamarpuri@tekion.com"/>
    <s v="Engineering"/>
    <x v="0"/>
    <s v="teza@tekion.com"/>
    <x v="0"/>
    <s v="rsarabu@tekion.com"/>
    <m/>
    <m/>
    <s v="ic"/>
    <n v="0"/>
    <n v="0"/>
    <n v="1"/>
    <x v="0"/>
  </r>
  <r>
    <d v="2026-01-02T00:00:00"/>
    <s v="02/28/2026"/>
    <s v="Sathish Kumar"/>
    <s v="Kumar"/>
    <s v="Sathish"/>
    <m/>
    <s v="active"/>
    <s v="He"/>
    <s v="India"/>
    <s v="sathishkr@tekion.com"/>
    <d v="2022-03-21T00:00:00"/>
    <n v="3.94"/>
    <s v="Staff Software Engineer"/>
    <s v="Software Engineering"/>
    <s v="P4"/>
    <s v="Individual Contributor"/>
    <d v="2025-10-04T00:00:00"/>
    <x v="38"/>
    <s v="jkumar@tekion.com"/>
    <s v="Engineering"/>
    <x v="0"/>
    <s v="teza@tekion.com"/>
    <x v="2"/>
    <s v="vijay@tekion.com"/>
    <m/>
    <m/>
    <s v="ic"/>
    <n v="1"/>
    <n v="1"/>
    <n v="1"/>
    <x v="0"/>
  </r>
  <r>
    <d v="2026-01-02T00:00:00"/>
    <s v="02/28/2026"/>
    <s v="Muruga Priya S"/>
    <s v="S"/>
    <s v="Muruga Priya"/>
    <m/>
    <s v="active"/>
    <m/>
    <s v="India"/>
    <s v="smurugapriya@tekion.com"/>
    <d v="2025-06-12T00:00:00"/>
    <n v="0.71"/>
    <s v="Performance Engineer I"/>
    <s v="Performance"/>
    <s v="P2"/>
    <s v="Individual Contributor"/>
    <d v="2025-12-06T00:00:00"/>
    <x v="43"/>
    <s v="akrishna@tekion.com"/>
    <s v="Engineering"/>
    <x v="0"/>
    <s v="teza@tekion.com"/>
    <x v="0"/>
    <s v="rsarabu@tekion.com"/>
    <m/>
    <m/>
    <s v="ic"/>
    <n v="0"/>
    <n v="0"/>
    <n v="0"/>
    <x v="0"/>
  </r>
  <r>
    <d v="2026-01-02T00:00:00"/>
    <s v="02/28/2026"/>
    <s v="Keerthikumaran A"/>
    <s v="A"/>
    <s v="Keerthikumaran"/>
    <m/>
    <s v="active"/>
    <s v="He"/>
    <s v="India"/>
    <s v="keerthikumarana@tekion.com"/>
    <d v="2021-10-07T00:00:00"/>
    <n v="4.3899999999999997"/>
    <s v="Product Manager I"/>
    <s v="Product Mgmt"/>
    <s v="P2"/>
    <s v="Individual Contributor"/>
    <d v="2025-10-04T00:00:00"/>
    <x v="33"/>
    <s v="balajij@tekion.com"/>
    <s v="Product Management"/>
    <x v="0"/>
    <s v="teza@tekion.com"/>
    <x v="4"/>
    <s v="slingutla@tekion.com"/>
    <m/>
    <m/>
    <s v="ic"/>
    <n v="1"/>
    <n v="1"/>
    <n v="5"/>
    <x v="0"/>
  </r>
  <r>
    <d v="2026-01-02T00:00:00"/>
    <s v="02/28/2026"/>
    <s v="Michael Rackmann M"/>
    <s v="Rackmann M"/>
    <s v="Michael"/>
    <s v="Asia/Calcutta"/>
    <s v="active"/>
    <s v="He"/>
    <s v="India"/>
    <s v="mrackmann@tekion.com"/>
    <d v="2021-08-12T00:00:00"/>
    <n v="4.54"/>
    <s v="Lead Software Engineer"/>
    <s v="Software Engineering"/>
    <s v="P4"/>
    <s v="Individual Contributor"/>
    <d v="2024-06-09T00:00:00"/>
    <x v="34"/>
    <s v="bsubramanian@tekion.com"/>
    <s v="Engineering"/>
    <x v="0"/>
    <s v="teza@tekion.com"/>
    <x v="2"/>
    <s v="vijay@tekion.com"/>
    <m/>
    <m/>
    <s v="manager"/>
    <n v="1"/>
    <n v="1"/>
    <n v="1"/>
    <x v="0"/>
  </r>
  <r>
    <d v="2026-01-02T00:00:00"/>
    <s v="02/28/2026"/>
    <s v="Karthikeyan M"/>
    <s v="M"/>
    <s v="Karthikeyan"/>
    <m/>
    <s v="active"/>
    <s v="He/Him/Mr"/>
    <s v="India"/>
    <s v="karthikeyanm@tekion.com"/>
    <d v="2025-02-06T00:00:00"/>
    <n v="1.06"/>
    <s v="Performance Engineer I"/>
    <s v="Performance"/>
    <s v="P2"/>
    <s v="Individual Contributor"/>
    <s v="5/13/2025"/>
    <x v="43"/>
    <s v="akrishna@tekion.com"/>
    <s v="Engineering"/>
    <x v="0"/>
    <s v="teza@tekion.com"/>
    <x v="0"/>
    <s v="rsarabu@tekion.com"/>
    <m/>
    <m/>
    <s v="ic"/>
    <n v="0"/>
    <n v="0"/>
    <n v="0"/>
    <x v="0"/>
  </r>
  <r>
    <d v="2026-01-02T00:00:00"/>
    <s v="02/28/2026"/>
    <s v="Mohith Bejjala"/>
    <s v="Bejjala"/>
    <s v="Mohith"/>
    <m/>
    <s v="active"/>
    <s v="He/Him"/>
    <s v="India"/>
    <s v="mbejjala@tekion.com"/>
    <d v="2025-12-11T00:00:00"/>
    <n v="0.21"/>
    <s v="Business Applications Engineer"/>
    <s v="Business Applications"/>
    <s v="P3A"/>
    <s v="Individual Contributor"/>
    <d v="2025-11-12T00:00:00"/>
    <x v="24"/>
    <s v="venkaty@tekion.com"/>
    <s v="Engineering"/>
    <x v="0"/>
    <s v="teza@tekion.com"/>
    <x v="6"/>
    <s v="venkaty@tekion.com"/>
    <m/>
    <m/>
    <s v="ic"/>
    <n v="0"/>
    <n v="0"/>
    <n v="0"/>
    <x v="0"/>
  </r>
  <r>
    <d v="2026-01-02T00:00:00"/>
    <s v="02/28/2026"/>
    <s v="Siva M S"/>
    <s v="M S"/>
    <s v="Siva"/>
    <s v="Asia/Calcutta"/>
    <s v="active"/>
    <s v="He/Him"/>
    <s v="India"/>
    <s v="sivas@tekion.com"/>
    <d v="2025-09-29T00:00:00"/>
    <n v="0.42"/>
    <s v="Manager, Data Engineering"/>
    <s v="Data Engineering"/>
    <s v="M3"/>
    <s v="Management"/>
    <s v="9/29/2025"/>
    <x v="17"/>
    <s v="jmuthuram@tekion.com"/>
    <s v="Engineering"/>
    <x v="0"/>
    <s v="teza@tekion.com"/>
    <x v="0"/>
    <s v="rsarabu@tekion.com"/>
    <m/>
    <m/>
    <s v="manager"/>
    <n v="1"/>
    <n v="1"/>
    <n v="4"/>
    <x v="0"/>
  </r>
  <r>
    <d v="2026-01-02T00:00:00"/>
    <s v="02/28/2026"/>
    <s v="Jagan Kumar"/>
    <s v="Kumar"/>
    <s v="Jagan"/>
    <s v="Asia/Calcutta"/>
    <s v="active"/>
    <m/>
    <s v="India"/>
    <s v="jaganks@tekion.com"/>
    <d v="2022-12-26T00:00:00"/>
    <n v="3.17"/>
    <s v="Software Engineer I"/>
    <s v="Software Engineering"/>
    <s v="P2"/>
    <s v="Individual Contributor"/>
    <d v="2025-10-04T00:00:00"/>
    <x v="23"/>
    <s v="nyadav@tekion.com"/>
    <s v="Engineering"/>
    <x v="0"/>
    <s v="teza@tekion.com"/>
    <x v="2"/>
    <s v="vijay@tekion.com"/>
    <m/>
    <m/>
    <s v="ic"/>
    <n v="1"/>
    <n v="1"/>
    <n v="1"/>
    <x v="0"/>
  </r>
  <r>
    <d v="2026-01-02T00:00:00"/>
    <s v="02/28/2026"/>
    <s v="Sivasubramaniam Chandravelu"/>
    <s v="Chandravelu"/>
    <s v="Sivasubramaniam"/>
    <m/>
    <s v="active"/>
    <m/>
    <s v="India"/>
    <s v="schandravelu@tekion.com"/>
    <d v="2021-02-15T00:00:00"/>
    <n v="5.04"/>
    <s v="Senior Manager, Automation QA"/>
    <s v="Automation QA"/>
    <s v="M4"/>
    <s v="Management"/>
    <s v="8/27/2024"/>
    <x v="29"/>
    <s v="rsarabu@tekion.com"/>
    <s v="Engineering"/>
    <x v="0"/>
    <s v="teza@tekion.com"/>
    <x v="0"/>
    <s v="rsarabu@tekion.com"/>
    <m/>
    <m/>
    <s v="manager"/>
    <n v="0"/>
    <n v="0"/>
    <n v="0"/>
    <x v="0"/>
  </r>
  <r>
    <d v="2026-01-02T00:00:00"/>
    <s v="02/28/2026"/>
    <s v="Bharath Narayan"/>
    <s v="Narayan"/>
    <s v="Bharath"/>
    <m/>
    <s v="active"/>
    <s v="He"/>
    <s v="India"/>
    <s v="bpnarayan@tekion.com"/>
    <d v="2023-01-05T00:00:00"/>
    <n v="3.15"/>
    <s v="Product Manager I"/>
    <s v="Product Mgmt"/>
    <s v="P2"/>
    <s v="Individual Contributor"/>
    <s v="8/20/2025"/>
    <x v="7"/>
    <s v="thilakgtn@tekion.com"/>
    <s v="Product Management"/>
    <x v="0"/>
    <s v="teza@tekion.com"/>
    <x v="4"/>
    <s v="slingutla@tekion.com"/>
    <m/>
    <m/>
    <s v="ic"/>
    <n v="0"/>
    <n v="0"/>
    <n v="2"/>
    <x v="0"/>
  </r>
  <r>
    <d v="2026-01-02T00:00:00"/>
    <s v="02/28/2026"/>
    <s v="Bala Subramanian"/>
    <s v="Subramanian"/>
    <s v="Bala"/>
    <s v="Asia/Calcutta"/>
    <s v="active"/>
    <m/>
    <s v="India"/>
    <s v="bsubramanian@tekion.com"/>
    <d v="2019-06-17T00:00:00"/>
    <n v="6.7"/>
    <s v="Senior Manager, Engineering"/>
    <s v="Software Engineering"/>
    <s v="M4"/>
    <s v="Management"/>
    <d v="2025-10-04T00:00:00"/>
    <x v="27"/>
    <s v="vijay@tekion.com"/>
    <s v="Engineering"/>
    <x v="0"/>
    <s v="teza@tekion.com"/>
    <x v="2"/>
    <s v="vijay@tekion.com"/>
    <m/>
    <m/>
    <s v="manager"/>
    <n v="0"/>
    <n v="0"/>
    <n v="1"/>
    <x v="0"/>
  </r>
  <r>
    <d v="2026-01-02T00:00:00"/>
    <s v="02/28/2026"/>
    <s v="G J Rajan"/>
    <s v="Rajan"/>
    <s v="G J"/>
    <m/>
    <s v="active"/>
    <s v="He/Him"/>
    <s v="India"/>
    <s v="rajang@tekion.com"/>
    <d v="2024-07-01T00:00:00"/>
    <n v="1.66"/>
    <s v="Software Engineer I"/>
    <s v="Software Engineering"/>
    <s v="P2"/>
    <s v="Individual Contributor"/>
    <s v="8/27/2024"/>
    <x v="25"/>
    <s v="rmjayakumar@tekion.com"/>
    <s v="Engineering"/>
    <x v="0"/>
    <s v="teza@tekion.com"/>
    <x v="2"/>
    <s v="vijay@tekion.com"/>
    <m/>
    <m/>
    <s v="ic"/>
    <n v="1"/>
    <n v="1"/>
    <n v="1"/>
    <x v="0"/>
  </r>
  <r>
    <d v="2026-01-02T00:00:00"/>
    <s v="02/28/2026"/>
    <s v="Aravind C V"/>
    <s v="C V"/>
    <s v="Aravind"/>
    <m/>
    <s v="active"/>
    <s v="Mr"/>
    <s v="India"/>
    <s v="aravindcv@tekion.com"/>
    <d v="2025-10-27T00:00:00"/>
    <n v="0.34"/>
    <s v="Network Engineer I"/>
    <s v="Network Engineering"/>
    <s v="P3A"/>
    <s v="Individual Contributor"/>
    <s v="10/27/2025"/>
    <x v="18"/>
    <s v="jbouse@tekion.com"/>
    <s v="Technology"/>
    <x v="0"/>
    <s v="teza@tekion.com"/>
    <x v="2"/>
    <s v="vijay@tekion.com"/>
    <m/>
    <m/>
    <s v="ic"/>
    <n v="0"/>
    <n v="0"/>
    <n v="0"/>
    <x v="0"/>
  </r>
  <r>
    <d v="2026-01-02T00:00:00"/>
    <s v="02/28/2026"/>
    <s v="Iswarya Senthilvel"/>
    <s v="Senthilvel"/>
    <s v="Iswarya"/>
    <m/>
    <s v="active"/>
    <s v="She"/>
    <s v="India"/>
    <s v="isenthilvel@tekion.com"/>
    <d v="2023-07-06T00:00:00"/>
    <n v="2.64"/>
    <s v="Software Engineer I"/>
    <s v="Software Engineering"/>
    <s v="P2"/>
    <s v="Individual Contributor"/>
    <d v="2025-02-11T00:00:00"/>
    <x v="38"/>
    <s v="jkumar@tekion.com"/>
    <s v="Engineering"/>
    <x v="0"/>
    <s v="teza@tekion.com"/>
    <x v="2"/>
    <s v="vijay@tekion.com"/>
    <m/>
    <m/>
    <s v="ic"/>
    <n v="1"/>
    <n v="1"/>
    <n v="1"/>
    <x v="0"/>
  </r>
  <r>
    <d v="2026-01-02T00:00:00"/>
    <s v="02/28/2026"/>
    <s v="Sonali Chaudhary"/>
    <s v="Chaudhary"/>
    <s v="Sonali"/>
    <m/>
    <s v="active"/>
    <s v="She/Her"/>
    <s v="India"/>
    <s v="schaudhary@tekion.com"/>
    <d v="2025-07-03T00:00:00"/>
    <n v="0.65"/>
    <s v="Lead Program Delivery Manager"/>
    <s v="Program Engagement Delivery"/>
    <s v="P4"/>
    <s v="Individual Contributor"/>
    <d v="2025-03-07T00:00:00"/>
    <x v="24"/>
    <s v="venkaty@tekion.com"/>
    <s v="Project Management Office"/>
    <x v="0"/>
    <s v="teza@tekion.com"/>
    <x v="6"/>
    <s v="venkaty@tekion.com"/>
    <m/>
    <m/>
    <s v="ic"/>
    <n v="0"/>
    <n v="0"/>
    <n v="0"/>
    <x v="0"/>
  </r>
  <r>
    <d v="2026-01-02T00:00:00"/>
    <s v="02/28/2026"/>
    <s v="Madanraj R"/>
    <s v="R"/>
    <s v="Madanraj"/>
    <m/>
    <s v="active"/>
    <s v="He"/>
    <s v="India"/>
    <s v="madanrajr@tekion.com"/>
    <d v="2025-12-15T00:00:00"/>
    <n v="0.2"/>
    <s v="Associate Application Support Engineer"/>
    <s v="Application Support"/>
    <s v="P1"/>
    <s v="Individual Contributor"/>
    <s v="12/15/2025"/>
    <x v="35"/>
    <s v="vdhanigaivel@tekion.com"/>
    <s v="Engineering"/>
    <x v="0"/>
    <s v="teza@tekion.com"/>
    <x v="2"/>
    <s v="vijay@tekion.com"/>
    <m/>
    <m/>
    <s v="ic"/>
    <n v="0"/>
    <n v="0"/>
    <n v="0"/>
    <x v="0"/>
  </r>
  <r>
    <d v="2026-01-02T00:00:00"/>
    <s v="02/28/2026"/>
    <s v="Mahesh Kumar Kanagasabapathy Rajagopal"/>
    <s v="Kumar Kanagasabapathy Rajagopal"/>
    <s v="Mahesh"/>
    <s v="Asia/Calcutta"/>
    <s v="active"/>
    <s v="He"/>
    <s v="India"/>
    <s v="maheshkkr@tekion.com"/>
    <d v="2023-01-05T00:00:00"/>
    <n v="3.15"/>
    <s v="Staff Software Engineer"/>
    <s v="Software Engineering"/>
    <s v="P4"/>
    <s v="Individual Contributor"/>
    <d v="2025-10-04T00:00:00"/>
    <x v="24"/>
    <s v="venkaty@tekion.com"/>
    <s v="Engineering"/>
    <x v="0"/>
    <s v="teza@tekion.com"/>
    <x v="6"/>
    <s v="venkaty@tekion.com"/>
    <m/>
    <m/>
    <s v="manager"/>
    <n v="0"/>
    <n v="0"/>
    <n v="0"/>
    <x v="0"/>
  </r>
  <r>
    <d v="2026-01-02T00:00:00"/>
    <s v="02/28/2026"/>
    <s v="Gowtham Murugesan"/>
    <s v="Murugesan"/>
    <s v="Gowtham"/>
    <m/>
    <s v="active"/>
    <m/>
    <s v="India"/>
    <s v="gowthamm@tekion.com"/>
    <d v="2024-03-11T00:00:00"/>
    <n v="1.96"/>
    <s v="IT Technical Support Specialist"/>
    <s v="IT Technical Support"/>
    <s v="S4"/>
    <s v="Individual Contributor"/>
    <s v="8/27/2024"/>
    <x v="20"/>
    <s v="pbalasubramaniam@tekion.com"/>
    <s v="IT"/>
    <x v="0"/>
    <s v="teza@tekion.com"/>
    <x v="2"/>
    <s v="vijay@tekion.com"/>
    <m/>
    <m/>
    <s v="ic"/>
    <n v="0"/>
    <n v="0"/>
    <n v="2"/>
    <x v="0"/>
  </r>
  <r>
    <d v="2026-01-02T00:00:00"/>
    <s v="02/28/2026"/>
    <s v="Prasanna Krishna Sai Ambati"/>
    <s v="Ambati"/>
    <s v="Prasanna Krishna Sai"/>
    <m/>
    <s v="active"/>
    <m/>
    <s v="India"/>
    <s v="ambatip@tekion.com"/>
    <d v="2025-09-29T00:00:00"/>
    <n v="0.42"/>
    <s v="Senior Automation QA Engineer"/>
    <s v="Automation QA"/>
    <s v="P3B"/>
    <s v="Individual Contributor"/>
    <s v="9/29/2025"/>
    <x v="4"/>
    <s v="schandravelu@tekion.com"/>
    <s v="Engineering"/>
    <x v="0"/>
    <s v="teza@tekion.com"/>
    <x v="0"/>
    <s v="rsarabu@tekion.com"/>
    <m/>
    <m/>
    <s v="ic"/>
    <n v="0"/>
    <n v="0"/>
    <n v="0"/>
    <x v="0"/>
  </r>
  <r>
    <d v="2026-01-02T00:00:00"/>
    <s v="02/28/2026"/>
    <s v="Praveen Kumar"/>
    <s v="Kumar"/>
    <s v="Praveen"/>
    <m/>
    <s v="active"/>
    <s v="Pk"/>
    <s v="India"/>
    <s v="pkvijayakumar@tekion.com"/>
    <d v="2023-07-06T00:00:00"/>
    <n v="2.64"/>
    <s v="Software Engineer I"/>
    <s v="Software Engineering"/>
    <s v="P2"/>
    <s v="Individual Contributor"/>
    <d v="2025-02-11T00:00:00"/>
    <x v="38"/>
    <s v="jkumar@tekion.com"/>
    <s v="Engineering"/>
    <x v="0"/>
    <s v="teza@tekion.com"/>
    <x v="2"/>
    <s v="vijay@tekion.com"/>
    <m/>
    <m/>
    <s v="ic"/>
    <n v="1"/>
    <n v="1"/>
    <n v="1"/>
    <x v="0"/>
  </r>
  <r>
    <d v="2026-01-02T00:00:00"/>
    <s v="02/28/2026"/>
    <s v="Bhaskar Nedumaran"/>
    <s v="Nedumaran"/>
    <s v="Bhaskar"/>
    <m/>
    <s v="active"/>
    <s v="He"/>
    <s v="India"/>
    <s v="bnedumaran@tekion.com"/>
    <d v="2023-06-15T00:00:00"/>
    <n v="2.7"/>
    <s v="Software Engineer II"/>
    <s v="Software Engineering"/>
    <s v="P3A"/>
    <s v="Individual Contributor"/>
    <s v="8/27/2024"/>
    <x v="8"/>
    <s v="csricharan@tekion.com"/>
    <s v="Engineering"/>
    <x v="0"/>
    <s v="teza@tekion.com"/>
    <x v="0"/>
    <s v="rsarabu@tekion.com"/>
    <m/>
    <m/>
    <s v="ic"/>
    <n v="0"/>
    <n v="0"/>
    <n v="1"/>
    <x v="0"/>
  </r>
  <r>
    <d v="2026-01-02T00:00:00"/>
    <s v="02/28/2026"/>
    <s v="Sivaraman Manian"/>
    <s v="Manian"/>
    <s v="Sivaraman"/>
    <m/>
    <s v="active"/>
    <m/>
    <s v="India"/>
    <s v="smanian@tekion.com"/>
    <d v="2021-04-05T00:00:00"/>
    <n v="4.9000000000000004"/>
    <s v="Lead Software Engineer"/>
    <s v="Software Engineering"/>
    <s v="P4"/>
    <s v="Individual Contributor"/>
    <d v="2024-06-09T00:00:00"/>
    <x v="34"/>
    <s v="bsubramanian@tekion.com"/>
    <s v="Engineering"/>
    <x v="0"/>
    <s v="teza@tekion.com"/>
    <x v="2"/>
    <s v="vijay@tekion.com"/>
    <m/>
    <m/>
    <s v="manager"/>
    <n v="0"/>
    <n v="0"/>
    <n v="1"/>
    <x v="0"/>
  </r>
  <r>
    <d v="2026-01-02T00:00:00"/>
    <s v="02/28/2026"/>
    <s v="Abishek S"/>
    <s v="S"/>
    <s v="Abishek"/>
    <s v="Asia/Calcutta"/>
    <s v="active"/>
    <s v="He/His/Him"/>
    <s v="India"/>
    <s v="abisheks@tekion.com"/>
    <d v="2023-03-02T00:00:00"/>
    <n v="2.99"/>
    <s v="Lead Data Engineer"/>
    <s v="Data Engineering"/>
    <s v="P4"/>
    <s v="Individual Contributor"/>
    <d v="2024-06-09T00:00:00"/>
    <x v="15"/>
    <s v="sivas@tekion.com"/>
    <s v="Engineering"/>
    <x v="0"/>
    <s v="teza@tekion.com"/>
    <x v="0"/>
    <s v="rsarabu@tekion.com"/>
    <m/>
    <m/>
    <s v="ic"/>
    <n v="0"/>
    <n v="0"/>
    <n v="4"/>
    <x v="0"/>
  </r>
  <r>
    <d v="2026-01-02T00:00:00"/>
    <s v="02/28/2026"/>
    <s v="Abinaya Karthikeyan"/>
    <s v="Karthikeyan"/>
    <s v="Abinaya"/>
    <m/>
    <s v="active"/>
    <m/>
    <s v="India"/>
    <s v="akkarthikeyan@tekion.com"/>
    <d v="2022-03-14T00:00:00"/>
    <n v="3.96"/>
    <s v="Software Engineer I"/>
    <s v="Software Engineering"/>
    <s v="P2"/>
    <s v="Individual Contributor"/>
    <d v="2025-02-11T00:00:00"/>
    <x v="30"/>
    <s v="nvadlamani@tekion.com"/>
    <s v="Engineering"/>
    <x v="0"/>
    <s v="teza@tekion.com"/>
    <x v="0"/>
    <s v="rsarabu@tekion.com"/>
    <m/>
    <m/>
    <s v="ic"/>
    <n v="0"/>
    <n v="0"/>
    <n v="0"/>
    <x v="0"/>
  </r>
  <r>
    <d v="2026-01-02T00:00:00"/>
    <s v="02/28/2026"/>
    <s v="Naveen Kumar"/>
    <s v="Kumar"/>
    <s v="Naveen"/>
    <m/>
    <s v="active"/>
    <s v="Mr"/>
    <s v="India"/>
    <s v="nnirmal@tekion.com"/>
    <d v="2022-12-08T00:00:00"/>
    <n v="3.22"/>
    <s v="Software Engineer I"/>
    <s v="Software Engineering"/>
    <s v="P2"/>
    <s v="Individual Contributor"/>
    <s v="8/27/2024"/>
    <x v="44"/>
    <s v="maheshkkr@tekion.com"/>
    <s v="Engineering"/>
    <x v="0"/>
    <s v="teza@tekion.com"/>
    <x v="6"/>
    <s v="venkaty@tekion.com"/>
    <m/>
    <m/>
    <s v="ic"/>
    <n v="0"/>
    <n v="0"/>
    <n v="4"/>
    <x v="0"/>
  </r>
  <r>
    <d v="2026-01-02T00:00:00"/>
    <s v="02/28/2026"/>
    <s v="Vijaymani N"/>
    <s v="N"/>
    <s v="Vijaymani"/>
    <m/>
    <s v="active"/>
    <s v="Vijay"/>
    <s v="India"/>
    <s v="vijaymanin@tekion.com"/>
    <d v="2022-10-03T00:00:00"/>
    <n v="3.4"/>
    <s v="Software Engineer I"/>
    <s v="Software Engineering"/>
    <s v="P2"/>
    <s v="Individual Contributor"/>
    <s v="8/27/2024"/>
    <x v="21"/>
    <s v="srinivasans@tekion.com"/>
    <s v="Engineering"/>
    <x v="0"/>
    <s v="teza@tekion.com"/>
    <x v="2"/>
    <s v="vijay@tekion.com"/>
    <m/>
    <m/>
    <s v="ic"/>
    <n v="0"/>
    <n v="0"/>
    <n v="0"/>
    <x v="0"/>
  </r>
  <r>
    <d v="2026-01-02T00:00:00"/>
    <s v="02/28/2026"/>
    <s v="Marisankar M"/>
    <s v="M"/>
    <s v="Marisankar"/>
    <m/>
    <s v="active"/>
    <s v="He/Him"/>
    <s v="India"/>
    <s v="marisankarm@tekion.com"/>
    <d v="2024-05-30T00:00:00"/>
    <n v="1.75"/>
    <s v="Associate Software Engineer"/>
    <s v="Software Engineering"/>
    <s v="P1"/>
    <s v="Individual Contributor"/>
    <s v="8/27/2024"/>
    <x v="22"/>
    <s v="svgovindarasan@tekion.com"/>
    <s v="Engineering"/>
    <x v="0"/>
    <s v="teza@tekion.com"/>
    <x v="2"/>
    <s v="vijay@tekion.com"/>
    <m/>
    <m/>
    <s v="ic"/>
    <n v="1"/>
    <n v="1"/>
    <n v="1"/>
    <x v="0"/>
  </r>
  <r>
    <d v="2026-01-02T00:00:00"/>
    <s v="02/28/2026"/>
    <s v="Aravindh Radhakrishnan"/>
    <s v="Radhakrishnan"/>
    <s v="Aravindh"/>
    <s v="Asia/Calcutta"/>
    <s v="active"/>
    <m/>
    <s v="India"/>
    <s v="aravindhr@tekion.com"/>
    <d v="2022-10-03T00:00:00"/>
    <n v="3.4"/>
    <s v="Software Engineer I"/>
    <s v="Software Engineering"/>
    <s v="P2"/>
    <s v="Individual Contributor"/>
    <s v="8/27/2024"/>
    <x v="44"/>
    <s v="maheshkkr@tekion.com"/>
    <s v="Engineering"/>
    <x v="0"/>
    <s v="teza@tekion.com"/>
    <x v="6"/>
    <s v="venkaty@tekion.com"/>
    <m/>
    <m/>
    <s v="ic"/>
    <n v="0"/>
    <n v="0"/>
    <n v="1"/>
    <x v="0"/>
  </r>
  <r>
    <d v="2026-01-02T00:00:00"/>
    <s v="02/28/2026"/>
    <s v="Sanjay Kumar S"/>
    <s v="Kumar S"/>
    <s v="Sanjay"/>
    <m/>
    <s v="active"/>
    <m/>
    <s v="India"/>
    <s v="sshanmugam@tekion.com"/>
    <d v="2023-07-06T00:00:00"/>
    <n v="2.64"/>
    <s v="Software Engineer I"/>
    <s v="Software Engineering"/>
    <s v="P2"/>
    <s v="Individual Contributor"/>
    <d v="2025-10-04T00:00:00"/>
    <x v="28"/>
    <s v="ramjibs@tekion.com"/>
    <s v="Engineering"/>
    <x v="0"/>
    <s v="teza@tekion.com"/>
    <x v="2"/>
    <s v="vijay@tekion.com"/>
    <m/>
    <m/>
    <s v="ic"/>
    <n v="0"/>
    <n v="0"/>
    <n v="1"/>
    <x v="0"/>
  </r>
  <r>
    <d v="2026-01-02T00:00:00"/>
    <s v="02/28/2026"/>
    <s v="Chandrasekar Samarapuri"/>
    <s v="Samarapuri"/>
    <s v="Chandrasekar"/>
    <m/>
    <s v="active"/>
    <m/>
    <s v="India"/>
    <s v="csamarpuri@tekion.com"/>
    <d v="2020-04-20T00:00:00"/>
    <n v="5.86"/>
    <s v="Senior Manager, Engineering"/>
    <s v="Software Engineering"/>
    <s v="M4"/>
    <s v="Management"/>
    <d v="2025-10-04T00:00:00"/>
    <x v="29"/>
    <s v="rsarabu@tekion.com"/>
    <s v="Engineering"/>
    <x v="0"/>
    <s v="teza@tekion.com"/>
    <x v="0"/>
    <s v="rsarabu@tekion.com"/>
    <m/>
    <m/>
    <s v="manager"/>
    <n v="0"/>
    <n v="0"/>
    <n v="1"/>
    <x v="0"/>
  </r>
  <r>
    <d v="2026-01-02T00:00:00"/>
    <s v="02/28/2026"/>
    <s v="Vishnu A"/>
    <s v="A"/>
    <s v="Vishnu"/>
    <m/>
    <s v="active"/>
    <s v="He"/>
    <s v="India"/>
    <s v="vishnua@tekion.com"/>
    <d v="2023-07-06T00:00:00"/>
    <n v="2.64"/>
    <s v="Software Engineer I"/>
    <s v="Software Engineering"/>
    <s v="P2"/>
    <s v="Individual Contributor"/>
    <d v="2025-02-11T00:00:00"/>
    <x v="36"/>
    <s v="mmohamed@tekion.com"/>
    <s v="Engineering"/>
    <x v="0"/>
    <s v="teza@tekion.com"/>
    <x v="2"/>
    <s v="vijay@tekion.com"/>
    <m/>
    <m/>
    <s v="ic"/>
    <n v="1"/>
    <n v="1"/>
    <n v="1"/>
    <x v="0"/>
  </r>
  <r>
    <d v="2026-01-02T00:00:00"/>
    <s v="02/28/2026"/>
    <s v="V Jayabarathi"/>
    <s v="Jayabarathi"/>
    <s v="V"/>
    <m/>
    <s v="active"/>
    <s v="She"/>
    <s v="India"/>
    <s v="vjayabarathi@tekion.com"/>
    <d v="2026-01-05T00:00:00"/>
    <n v="0.15"/>
    <s v="Automation QA Engineer I"/>
    <s v="Automation QA"/>
    <s v="P2"/>
    <s v="Individual Contributor"/>
    <d v="2026-05-01T00:00:00"/>
    <x v="4"/>
    <s v="schandravelu@tekion.com"/>
    <s v="Engineering"/>
    <x v="0"/>
    <s v="teza@tekion.com"/>
    <x v="0"/>
    <s v="rsarabu@tekion.com"/>
    <m/>
    <m/>
    <s v="ic"/>
    <n v="0"/>
    <n v="0"/>
    <n v="0"/>
    <x v="0"/>
  </r>
  <r>
    <d v="2026-01-02T00:00:00"/>
    <s v="02/28/2026"/>
    <s v="Kumaran C"/>
    <s v="C"/>
    <s v="Kumaran"/>
    <m/>
    <s v="active"/>
    <s v="They/His/Them"/>
    <s v="India"/>
    <s v="kumaranc@tekion.com"/>
    <d v="2023-01-09T00:00:00"/>
    <n v="3.14"/>
    <s v="Automation QA Engineer I"/>
    <s v="Automation QA"/>
    <s v="P2"/>
    <s v="Individual Contributor"/>
    <s v="8/27/2024"/>
    <x v="39"/>
    <s v="ssamuthirapandi@tekion.com"/>
    <s v="Engineering"/>
    <x v="0"/>
    <s v="teza@tekion.com"/>
    <x v="0"/>
    <s v="rsarabu@tekion.com"/>
    <m/>
    <m/>
    <s v="ic"/>
    <n v="0"/>
    <n v="0"/>
    <n v="4"/>
    <x v="0"/>
  </r>
  <r>
    <d v="2026-01-02T00:00:00"/>
    <s v="02/28/2026"/>
    <s v="Jeeva J"/>
    <s v="J"/>
    <s v="Jeeva"/>
    <m/>
    <s v="active"/>
    <m/>
    <s v="India"/>
    <s v="jeevaj@tekion.com"/>
    <d v="2023-07-06T00:00:00"/>
    <n v="2.64"/>
    <s v="Automation QA Engineer I"/>
    <s v="Automation QA"/>
    <s v="P2"/>
    <s v="Individual Contributor"/>
    <d v="2025-02-11T00:00:00"/>
    <x v="39"/>
    <s v="ssamuthirapandi@tekion.com"/>
    <s v="Engineering"/>
    <x v="0"/>
    <s v="teza@tekion.com"/>
    <x v="0"/>
    <s v="rsarabu@tekion.com"/>
    <m/>
    <m/>
    <s v="ic"/>
    <n v="0"/>
    <n v="0"/>
    <n v="0"/>
    <x v="0"/>
  </r>
  <r>
    <d v="2026-01-02T00:00:00"/>
    <s v="02/28/2026"/>
    <s v="Surendar V G"/>
    <s v="V G"/>
    <s v="Surendar"/>
    <m/>
    <s v="active"/>
    <m/>
    <s v="India"/>
    <s v="svgovindarasan@tekion.com"/>
    <d v="2019-02-04T00:00:00"/>
    <n v="7.07"/>
    <s v="Lead Software Engineer"/>
    <s v="Software Engineering"/>
    <s v="P4"/>
    <s v="Individual Contributor"/>
    <d v="2024-06-09T00:00:00"/>
    <x v="34"/>
    <s v="bsubramanian@tekion.com"/>
    <s v="Engineering"/>
    <x v="0"/>
    <s v="teza@tekion.com"/>
    <x v="2"/>
    <s v="vijay@tekion.com"/>
    <m/>
    <m/>
    <s v="manager"/>
    <n v="1"/>
    <n v="1"/>
    <n v="1"/>
    <x v="0"/>
  </r>
  <r>
    <d v="2026-01-02T00:00:00"/>
    <s v="02/28/2026"/>
    <s v="Polu Karthik Kumar"/>
    <s v="Karthik Kumar"/>
    <s v="Polu"/>
    <m/>
    <s v="active"/>
    <m/>
    <s v="India"/>
    <s v="pkkumar@tekion.com"/>
    <d v="2021-07-29T00:00:00"/>
    <n v="4.58"/>
    <s v="Lead Automation QA Engineer"/>
    <s v="Automation QA"/>
    <s v="P4"/>
    <s v="Individual Contributor"/>
    <d v="2025-02-11T00:00:00"/>
    <x v="16"/>
    <s v="jpacha@tekion.com"/>
    <s v="Engineering"/>
    <x v="0"/>
    <s v="teza@tekion.com"/>
    <x v="0"/>
    <s v="rsarabu@tekion.com"/>
    <m/>
    <m/>
    <s v="ic"/>
    <n v="0"/>
    <n v="0"/>
    <n v="1"/>
    <x v="0"/>
  </r>
  <r>
    <d v="2026-01-02T00:00:00"/>
    <s v="02/28/2026"/>
    <s v="Abhishek C P"/>
    <s v="C P"/>
    <s v="Abhishek"/>
    <m/>
    <s v="active"/>
    <s v="He/Him"/>
    <s v="India"/>
    <s v="cabhishek@tekion.com"/>
    <d v="2025-07-28T00:00:00"/>
    <n v="0.57999999999999996"/>
    <s v="Staff IT Systems Engineer"/>
    <s v="IT Systems"/>
    <s v="P4"/>
    <s v="Individual Contributor"/>
    <s v="7/28/2025"/>
    <x v="18"/>
    <s v="jbouse@tekion.com"/>
    <s v="IT"/>
    <x v="0"/>
    <s v="teza@tekion.com"/>
    <x v="2"/>
    <s v="vijay@tekion.com"/>
    <m/>
    <m/>
    <s v="ic"/>
    <n v="0"/>
    <n v="0"/>
    <n v="0"/>
    <x v="0"/>
  </r>
  <r>
    <d v="2026-01-02T00:00:00"/>
    <s v="02/28/2026"/>
    <s v="Varun M S"/>
    <s v="M S"/>
    <s v="Varun"/>
    <m/>
    <s v="active"/>
    <s v="He/Him"/>
    <s v="India"/>
    <s v="vmsadasivan@tekion.com"/>
    <d v="2020-11-27T00:00:00"/>
    <n v="5.25"/>
    <s v="Lead Software Engineer"/>
    <s v="Software Engineering"/>
    <s v="P4"/>
    <s v="Individual Contributor"/>
    <d v="2024-06-09T00:00:00"/>
    <x v="34"/>
    <s v="bsubramanian@tekion.com"/>
    <s v="Engineering"/>
    <x v="0"/>
    <s v="teza@tekion.com"/>
    <x v="2"/>
    <s v="vijay@tekion.com"/>
    <m/>
    <m/>
    <s v="manager"/>
    <n v="1"/>
    <n v="1"/>
    <n v="1"/>
    <x v="0"/>
  </r>
  <r>
    <d v="2026-01-02T00:00:00"/>
    <s v="02/28/2026"/>
    <s v="Sabarish Kannaa"/>
    <s v="Kannaa"/>
    <s v="Sabarish"/>
    <m/>
    <s v="active"/>
    <s v="He/Him/Mr"/>
    <s v="India"/>
    <s v="skannaa@tekion.com"/>
    <d v="2022-03-03T00:00:00"/>
    <n v="3.99"/>
    <s v="Staff Application Support Engineer"/>
    <s v="Application Support"/>
    <s v="P4"/>
    <s v="Individual Contributor"/>
    <d v="2025-10-04T00:00:00"/>
    <x v="35"/>
    <s v="vdhanigaivel@tekion.com"/>
    <s v="Engineering"/>
    <x v="0"/>
    <s v="teza@tekion.com"/>
    <x v="2"/>
    <s v="vijay@tekion.com"/>
    <m/>
    <m/>
    <s v="ic"/>
    <n v="0"/>
    <n v="0"/>
    <n v="0"/>
    <x v="0"/>
  </r>
  <r>
    <d v="2026-01-02T00:00:00"/>
    <s v="02/28/2026"/>
    <s v="Shalini A"/>
    <s v="A"/>
    <s v="Shalini"/>
    <m/>
    <s v="active"/>
    <m/>
    <s v="India"/>
    <s v="shalinia@tekion.com"/>
    <d v="2023-07-06T00:00:00"/>
    <n v="2.64"/>
    <s v="Automation QA Engineer I"/>
    <s v="Automation QA"/>
    <s v="P2"/>
    <s v="Individual Contributor"/>
    <s v="4/23/2025"/>
    <x v="16"/>
    <s v="jpacha@tekion.com"/>
    <s v="Engineering"/>
    <x v="0"/>
    <s v="teza@tekion.com"/>
    <x v="0"/>
    <s v="rsarabu@tekion.com"/>
    <m/>
    <m/>
    <s v="ic"/>
    <n v="0"/>
    <n v="0"/>
    <n v="1"/>
    <x v="0"/>
  </r>
  <r>
    <d v="2026-01-02T00:00:00"/>
    <s v="02/28/2026"/>
    <s v="Kiruthika Natarajan"/>
    <s v="Natarajan"/>
    <s v="Kiruthika"/>
    <m/>
    <s v="active"/>
    <s v="She"/>
    <s v="India"/>
    <s v="knatarajan@tekion.com"/>
    <d v="2021-07-29T00:00:00"/>
    <n v="4.58"/>
    <s v="Lead Software Engineer"/>
    <s v="Software Engineering"/>
    <s v="P4"/>
    <s v="Individual Contributor"/>
    <d v="2024-06-09T00:00:00"/>
    <x v="3"/>
    <s v="mramasamy@tekion.com"/>
    <s v="Engineering"/>
    <x v="0"/>
    <s v="teza@tekion.com"/>
    <x v="2"/>
    <s v="vijay@tekion.com"/>
    <m/>
    <m/>
    <s v="manager"/>
    <n v="1"/>
    <n v="1"/>
    <n v="2"/>
    <x v="0"/>
  </r>
  <r>
    <d v="2026-01-02T00:00:00"/>
    <s v="02/28/2026"/>
    <s v="Bhavesh Kalyanbhai Vaghasiya"/>
    <s v="Kalyanbhai Vaghasiya"/>
    <s v="Bhavesh"/>
    <m/>
    <s v="active"/>
    <m/>
    <s v="India"/>
    <s v="bhaveshkv@tekion.com"/>
    <d v="2024-01-18T00:00:00"/>
    <n v="2.11"/>
    <s v="Security Engineer I"/>
    <s v="Security Engineering"/>
    <s v="P2"/>
    <s v="Individual Contributor"/>
    <d v="2025-10-04T00:00:00"/>
    <x v="13"/>
    <s v="achourasia@tekion.com"/>
    <s v="Engineering"/>
    <x v="1"/>
    <s v="kbhattacharya@tekion.com"/>
    <x v="5"/>
    <s v="achourasia@tekion.com"/>
    <m/>
    <m/>
    <s v="ic"/>
    <n v="0"/>
    <n v="0"/>
    <n v="2"/>
    <x v="0"/>
  </r>
  <r>
    <d v="2026-01-02T00:00:00"/>
    <s v="02/28/2026"/>
    <s v="Nagendra Pratap Yadav"/>
    <s v="Pratap Yadav"/>
    <s v="Nagendra"/>
    <m/>
    <s v="active"/>
    <s v="He"/>
    <s v="India"/>
    <s v="nyadav@tekion.com"/>
    <d v="2018-05-02T00:00:00"/>
    <n v="7.82"/>
    <s v="Associate Architect, Engineering"/>
    <s v="Software Engineering"/>
    <s v="P5"/>
    <s v="Individual Contributor"/>
    <d v="2024-06-09T00:00:00"/>
    <x v="3"/>
    <s v="mramasamy@tekion.com"/>
    <s v="Engineering"/>
    <x v="0"/>
    <s v="teza@tekion.com"/>
    <x v="2"/>
    <s v="vijay@tekion.com"/>
    <m/>
    <m/>
    <s v="manager"/>
    <n v="1"/>
    <n v="1"/>
    <n v="2"/>
    <x v="0"/>
  </r>
  <r>
    <d v="2026-01-02T00:00:00"/>
    <s v="02/28/2026"/>
    <s v="Dharmadurai Mahadevan"/>
    <s v="Mahadevan"/>
    <s v="Dharmadurai"/>
    <m/>
    <s v="active"/>
    <m/>
    <s v="India"/>
    <s v="dmahadevan@tekion.com"/>
    <d v="2020-05-04T00:00:00"/>
    <n v="5.82"/>
    <s v="Lead Software Engineer"/>
    <s v="Software Engineering"/>
    <s v="P4"/>
    <s v="Individual Contributor"/>
    <d v="2024-06-09T00:00:00"/>
    <x v="0"/>
    <s v="vnellaiyappan@tekion.com"/>
    <s v="Engineering"/>
    <x v="0"/>
    <s v="teza@tekion.com"/>
    <x v="0"/>
    <s v="rsarabu@tekion.com"/>
    <m/>
    <m/>
    <s v="manager"/>
    <n v="0"/>
    <n v="0"/>
    <n v="1"/>
    <x v="0"/>
  </r>
  <r>
    <d v="2026-01-02T00:00:00"/>
    <s v="02/28/2026"/>
    <s v="E Manohar"/>
    <s v="Manohar"/>
    <s v="E"/>
    <m/>
    <s v="active"/>
    <m/>
    <s v="India"/>
    <s v="emanohar@tekion.com"/>
    <d v="2021-08-02T00:00:00"/>
    <n v="4.57"/>
    <s v="Staff Software Engineer"/>
    <s v="Software Engineering"/>
    <s v="P4"/>
    <s v="Individual Contributor"/>
    <d v="2025-10-04T00:00:00"/>
    <x v="21"/>
    <s v="srinivasans@tekion.com"/>
    <s v="Engineering"/>
    <x v="0"/>
    <s v="teza@tekion.com"/>
    <x v="2"/>
    <s v="vijay@tekion.com"/>
    <m/>
    <m/>
    <s v="ic"/>
    <n v="0"/>
    <n v="0"/>
    <n v="0"/>
    <x v="0"/>
  </r>
  <r>
    <d v="2026-01-02T00:00:00"/>
    <s v="02/28/2026"/>
    <s v="Raguram Shanmugam"/>
    <s v="Shanmugam"/>
    <s v="Raguram"/>
    <m/>
    <s v="active"/>
    <m/>
    <s v="India"/>
    <s v="rshanmugam@tekion.com"/>
    <d v="2022-07-28T00:00:00"/>
    <n v="3.58"/>
    <s v="Software Engineer I"/>
    <s v="Software Engineering"/>
    <s v="P2"/>
    <s v="Individual Contributor"/>
    <d v="2025-10-04T00:00:00"/>
    <x v="0"/>
    <s v="vnellaiyappan@tekion.com"/>
    <s v="Engineering"/>
    <x v="0"/>
    <s v="teza@tekion.com"/>
    <x v="0"/>
    <s v="rsarabu@tekion.com"/>
    <m/>
    <m/>
    <s v="ic"/>
    <n v="0"/>
    <n v="0"/>
    <n v="1"/>
    <x v="0"/>
  </r>
  <r>
    <d v="2026-01-02T00:00:00"/>
    <s v="02/28/2026"/>
    <s v="Vijay Prasanth V"/>
    <s v="Prasanth V"/>
    <s v="Vijay"/>
    <m/>
    <s v="active"/>
    <m/>
    <s v="India"/>
    <s v="prasanthv@tekion.com"/>
    <d v="2025-08-04T00:00:00"/>
    <n v="0.56999999999999995"/>
    <s v="Senior IT Systems Engineer"/>
    <s v="IT Systems"/>
    <s v="P3"/>
    <s v="Individual Contributor"/>
    <d v="2025-04-08T00:00:00"/>
    <x v="18"/>
    <s v="jbouse@tekion.com"/>
    <s v="IT"/>
    <x v="0"/>
    <s v="teza@tekion.com"/>
    <x v="2"/>
    <s v="vijay@tekion.com"/>
    <m/>
    <m/>
    <s v="ic"/>
    <n v="0"/>
    <n v="0"/>
    <n v="0"/>
    <x v="0"/>
  </r>
  <r>
    <d v="2026-01-02T00:00:00"/>
    <s v="02/28/2026"/>
    <s v="C Sricharan"/>
    <s v="Sricharan"/>
    <s v="C"/>
    <m/>
    <s v="active"/>
    <s v="He"/>
    <s v="India"/>
    <s v="csricharan@tekion.com"/>
    <d v="2021-06-21T00:00:00"/>
    <n v="4.6900000000000004"/>
    <s v="Lead Software Engineer"/>
    <s v="Software Engineering"/>
    <s v="P4"/>
    <s v="Individual Contributor"/>
    <d v="2024-06-09T00:00:00"/>
    <x v="42"/>
    <s v="csamarpuri@tekion.com"/>
    <s v="Engineering"/>
    <x v="0"/>
    <s v="teza@tekion.com"/>
    <x v="0"/>
    <s v="rsarabu@tekion.com"/>
    <m/>
    <m/>
    <s v="manager"/>
    <n v="0"/>
    <n v="0"/>
    <n v="1"/>
    <x v="0"/>
  </r>
  <r>
    <d v="2026-01-02T00:00:00"/>
    <s v="02/28/2026"/>
    <s v="Karthikeyani N"/>
    <s v="N"/>
    <s v="Karthikeyani"/>
    <m/>
    <s v="active"/>
    <m/>
    <s v="India"/>
    <s v="karthikeyanin@tekion.com"/>
    <d v="2020-12-23T00:00:00"/>
    <n v="5.18"/>
    <s v="Automation QA Engineer II"/>
    <s v="Automation QA"/>
    <s v="P3A"/>
    <s v="Individual Contributor"/>
    <d v="2025-10-04T00:00:00"/>
    <x v="4"/>
    <s v="schandravelu@tekion.com"/>
    <s v="Engineering"/>
    <x v="0"/>
    <s v="teza@tekion.com"/>
    <x v="0"/>
    <s v="rsarabu@tekion.com"/>
    <m/>
    <m/>
    <s v="ic"/>
    <n v="0"/>
    <n v="0"/>
    <n v="1"/>
    <x v="0"/>
  </r>
  <r>
    <d v="2026-01-02T00:00:00"/>
    <s v="02/28/2026"/>
    <s v="Vikram Krishnan"/>
    <s v="Krishnan"/>
    <s v="Vikram"/>
    <m/>
    <s v="active"/>
    <m/>
    <s v="India"/>
    <s v="vikramk@tekion.com"/>
    <d v="2022-09-10T00:00:00"/>
    <n v="3.47"/>
    <s v="Software Engineer I"/>
    <s v="Software Engineering"/>
    <s v="P2"/>
    <s v="Individual Contributor"/>
    <s v="8/27/2024"/>
    <x v="14"/>
    <s v="vmsadasivan@tekion.com"/>
    <s v="Engineering"/>
    <x v="0"/>
    <s v="teza@tekion.com"/>
    <x v="2"/>
    <s v="vijay@tekion.com"/>
    <m/>
    <m/>
    <s v="ic"/>
    <n v="0"/>
    <n v="0"/>
    <n v="1"/>
    <x v="0"/>
  </r>
  <r>
    <d v="2026-01-02T00:00:00"/>
    <s v="02/28/2026"/>
    <s v="Santhosh K V"/>
    <s v="K V"/>
    <s v="Santhosh"/>
    <m/>
    <s v="active"/>
    <m/>
    <s v="India"/>
    <s v="santhoshkv@tekion.com"/>
    <d v="2022-08-22T00:00:00"/>
    <n v="3.52"/>
    <s v="Software Engineer I"/>
    <s v="Software Engineering"/>
    <s v="P2"/>
    <s v="Individual Contributor"/>
    <d v="2025-10-04T00:00:00"/>
    <x v="23"/>
    <s v="nyadav@tekion.com"/>
    <s v="Engineering"/>
    <x v="0"/>
    <s v="teza@tekion.com"/>
    <x v="2"/>
    <s v="vijay@tekion.com"/>
    <m/>
    <m/>
    <s v="ic"/>
    <n v="1"/>
    <n v="1"/>
    <n v="1"/>
    <x v="0"/>
  </r>
  <r>
    <d v="2026-01-02T00:00:00"/>
    <s v="02/28/2026"/>
    <s v="Nithishkumar R"/>
    <s v="R"/>
    <s v="Nithishkumar"/>
    <m/>
    <s v="active"/>
    <m/>
    <s v="India"/>
    <s v="nithishkumarr@tekion.com"/>
    <d v="2022-10-03T00:00:00"/>
    <n v="3.4"/>
    <s v="Software Engineer I"/>
    <s v="Software Engineering"/>
    <s v="P2"/>
    <s v="Individual Contributor"/>
    <d v="2025-10-04T00:00:00"/>
    <x v="23"/>
    <s v="nyadav@tekion.com"/>
    <s v="Engineering"/>
    <x v="0"/>
    <s v="teza@tekion.com"/>
    <x v="2"/>
    <s v="vijay@tekion.com"/>
    <m/>
    <m/>
    <s v="ic"/>
    <n v="1"/>
    <n v="1"/>
    <n v="1"/>
    <x v="0"/>
  </r>
  <r>
    <d v="2026-01-02T00:00:00"/>
    <s v="02/28/2026"/>
    <s v="Raj Mohan Jayakumar"/>
    <s v="Jayakumar"/>
    <s v="Raj Mohan"/>
    <m/>
    <s v="active"/>
    <s v="He"/>
    <s v="India"/>
    <s v="rmjayakumar@tekion.com"/>
    <d v="2020-12-17T00:00:00"/>
    <n v="5.2"/>
    <s v="Staff Software Engineer"/>
    <s v="Software Engineering"/>
    <s v="P4"/>
    <s v="Individual Contributor"/>
    <d v="2024-06-09T00:00:00"/>
    <x v="34"/>
    <s v="bsubramanian@tekion.com"/>
    <s v="Engineering"/>
    <x v="0"/>
    <s v="teza@tekion.com"/>
    <x v="2"/>
    <s v="vijay@tekion.com"/>
    <m/>
    <m/>
    <s v="manager"/>
    <n v="0"/>
    <n v="0"/>
    <n v="1"/>
    <x v="0"/>
  </r>
  <r>
    <d v="2026-01-02T00:00:00"/>
    <s v="02/28/2026"/>
    <s v="Bharathkumar S"/>
    <s v="S"/>
    <s v="Bharathkumar"/>
    <m/>
    <s v="active"/>
    <s v="He"/>
    <s v="India"/>
    <s v="bharathkumars@tekion.com"/>
    <d v="2022-10-06T00:00:00"/>
    <n v="3.39"/>
    <s v="IT Technical Support Specialist"/>
    <s v="IT Technical Support"/>
    <s v="S4"/>
    <s v="Individual Contributor"/>
    <d v="2024-04-11T00:00:00"/>
    <x v="20"/>
    <s v="pbalasubramaniam@tekion.com"/>
    <s v="IT"/>
    <x v="0"/>
    <s v="teza@tekion.com"/>
    <x v="2"/>
    <s v="vijay@tekion.com"/>
    <m/>
    <m/>
    <s v="ic"/>
    <n v="0"/>
    <n v="0"/>
    <n v="2"/>
    <x v="0"/>
  </r>
  <r>
    <d v="2026-01-02T00:00:00"/>
    <s v="02/28/2026"/>
    <s v="Vinoth Namachivayam"/>
    <s v="Namachivayam"/>
    <s v="Vinoth"/>
    <s v="Asia/Calcutta"/>
    <s v="active"/>
    <s v="Mr"/>
    <s v="India"/>
    <s v="vinothn@tekion.com"/>
    <d v="2022-04-11T00:00:00"/>
    <n v="3.88"/>
    <s v="Senior Software Engineer"/>
    <s v="Software Engineering"/>
    <s v="P3B"/>
    <s v="Individual Contributor"/>
    <d v="2025-10-04T00:00:00"/>
    <x v="15"/>
    <s v="sivas@tekion.com"/>
    <s v="Engineering"/>
    <x v="0"/>
    <s v="teza@tekion.com"/>
    <x v="0"/>
    <s v="rsarabu@tekion.com"/>
    <m/>
    <m/>
    <s v="ic"/>
    <n v="0"/>
    <n v="0"/>
    <n v="4"/>
    <x v="0"/>
  </r>
  <r>
    <d v="2026-01-02T00:00:00"/>
    <s v="02/28/2026"/>
    <s v="Neeraj V"/>
    <s v="V"/>
    <s v="Neeraj"/>
    <m/>
    <s v="active"/>
    <s v="He"/>
    <s v="India"/>
    <s v="neerajv@tekion.com"/>
    <d v="2026-01-22T00:00:00"/>
    <n v="0.1"/>
    <s v="Senior Security Engineer"/>
    <s v="Security Engineering"/>
    <s v="P3B"/>
    <s v="Individual Contributor"/>
    <s v="1/22/2026"/>
    <x v="13"/>
    <s v="achourasia@tekion.com"/>
    <s v="Engineering"/>
    <x v="1"/>
    <s v="kbhattacharya@tekion.com"/>
    <x v="5"/>
    <s v="achourasia@tekion.com"/>
    <m/>
    <m/>
    <s v="ic"/>
    <n v="0"/>
    <n v="0"/>
    <n v="0"/>
    <x v="0"/>
  </r>
  <r>
    <d v="2026-01-02T00:00:00"/>
    <s v="02/28/2026"/>
    <s v="Abid Aziz"/>
    <s v="Aziz"/>
    <s v="Abid"/>
    <m/>
    <s v="active"/>
    <s v="He/Him"/>
    <s v="India"/>
    <s v="aaziz@tekion.com"/>
    <d v="2026-01-08T00:00:00"/>
    <n v="0.14000000000000001"/>
    <s v="Associate Software Engineer"/>
    <s v="Software Engineering"/>
    <s v="P1"/>
    <s v="Individual Contributor"/>
    <d v="2026-08-01T00:00:00"/>
    <x v="21"/>
    <s v="srinivasans@tekion.com"/>
    <s v="Engineering"/>
    <x v="0"/>
    <s v="teza@tekion.com"/>
    <x v="2"/>
    <s v="vijay@tekion.com"/>
    <m/>
    <m/>
    <s v="ic"/>
    <n v="0"/>
    <n v="0"/>
    <n v="0"/>
    <x v="0"/>
  </r>
  <r>
    <d v="2026-01-02T00:00:00"/>
    <s v="02/28/2026"/>
    <s v="Athul Krishna"/>
    <s v="Krishna"/>
    <s v="Athul"/>
    <m/>
    <s v="active"/>
    <m/>
    <s v="India"/>
    <s v="athulk@tekion.com"/>
    <d v="2025-12-01T00:00:00"/>
    <n v="0.24"/>
    <s v="Business Applications Analyst I"/>
    <s v="Business Applications"/>
    <s v="P2"/>
    <s v="Individual Contributor"/>
    <d v="2025-02-12T00:00:00"/>
    <x v="1"/>
    <s v="jvenkatraman@tekion.com"/>
    <s v="Engineering"/>
    <x v="0"/>
    <s v="teza@tekion.com"/>
    <x v="1"/>
    <s v="jswaminathan@tekion.com"/>
    <m/>
    <m/>
    <s v="ic"/>
    <n v="0"/>
    <n v="0"/>
    <n v="0"/>
    <x v="0"/>
  </r>
  <r>
    <d v="2026-01-02T00:00:00"/>
    <s v="02/28/2026"/>
    <s v="Subramaniya Nivash"/>
    <s v="Nivash"/>
    <s v="Subramaniya"/>
    <m/>
    <s v="active"/>
    <m/>
    <s v="India"/>
    <s v="snivash@tekion.com"/>
    <d v="2022-11-03T00:00:00"/>
    <n v="3.32"/>
    <s v="Software Engineer I"/>
    <s v="Software Engineering"/>
    <s v="P2"/>
    <s v="Individual Contributor"/>
    <d v="2025-10-04T00:00:00"/>
    <x v="38"/>
    <s v="jkumar@tekion.com"/>
    <s v="Engineering"/>
    <x v="0"/>
    <s v="teza@tekion.com"/>
    <x v="2"/>
    <s v="vijay@tekion.com"/>
    <m/>
    <m/>
    <s v="ic"/>
    <n v="1"/>
    <n v="1"/>
    <n v="1"/>
    <x v="0"/>
  </r>
  <r>
    <d v="2026-01-02T00:00:00"/>
    <s v="02/28/2026"/>
    <s v="Magesh Adithya"/>
    <s v="Adithya"/>
    <s v="Magesh"/>
    <m/>
    <s v="active"/>
    <m/>
    <s v="India"/>
    <s v="madithya@tekion.com"/>
    <d v="2025-07-14T00:00:00"/>
    <n v="0.62"/>
    <s v="Governance, Risk &amp; Compliance Analyst"/>
    <s v="Governance, Risk &amp; Compliance"/>
    <s v="P3"/>
    <s v="Individual Contributor"/>
    <s v="7/14/2025"/>
    <x v="31"/>
    <s v="jrnaik@tekion.com"/>
    <s v="IT"/>
    <x v="1"/>
    <s v="kbhattacharya@tekion.com"/>
    <x v="3"/>
    <s v="kbhattacharya@tekion.com"/>
    <m/>
    <m/>
    <s v="ic"/>
    <n v="0"/>
    <n v="0"/>
    <n v="0"/>
    <x v="0"/>
  </r>
  <r>
    <d v="2026-01-02T00:00:00"/>
    <s v="02/28/2026"/>
    <s v="Chethan C"/>
    <s v="C"/>
    <s v="Chethan"/>
    <m/>
    <s v="active"/>
    <s v="He/Him"/>
    <s v="India"/>
    <s v="chethanc@tekion.com"/>
    <d v="2025-10-16T00:00:00"/>
    <n v="0.37"/>
    <s v="Security Engineer I"/>
    <s v="Security Engineering"/>
    <s v="P2"/>
    <s v="Individual Contributor"/>
    <s v="10/16/2025"/>
    <x v="40"/>
    <s v="kpunna@tekion.com"/>
    <s v="Engineering"/>
    <x v="1"/>
    <s v="kbhattacharya@tekion.com"/>
    <x v="3"/>
    <s v="kbhattacharya@tekion.com"/>
    <m/>
    <m/>
    <s v="ic"/>
    <n v="0"/>
    <n v="0"/>
    <n v="0"/>
    <x v="0"/>
  </r>
  <r>
    <d v="2026-01-02T00:00:00"/>
    <s v="02/28/2026"/>
    <s v="Bharathi Kannan Thiyagarajan"/>
    <s v="Kannan Thiyagarajan"/>
    <s v="Bharathi"/>
    <m/>
    <s v="active"/>
    <m/>
    <s v="India"/>
    <s v="bkannan@tekion.com"/>
    <d v="2019-04-08T00:00:00"/>
    <n v="6.89"/>
    <s v="Senior Software Engineer"/>
    <s v="Software Engineering"/>
    <s v="P3B"/>
    <s v="Individual Contributor"/>
    <s v="8/27/2024"/>
    <x v="8"/>
    <s v="csricharan@tekion.com"/>
    <s v="Engineering"/>
    <x v="0"/>
    <s v="teza@tekion.com"/>
    <x v="0"/>
    <s v="rsarabu@tekion.com"/>
    <m/>
    <m/>
    <s v="ic"/>
    <n v="0"/>
    <n v="0"/>
    <n v="1"/>
    <x v="0"/>
  </r>
  <r>
    <d v="2026-01-02T00:00:00"/>
    <s v="02/28/2026"/>
    <s v="Adamya Agnihotri"/>
    <s v="Agnihotri"/>
    <s v="Adamya"/>
    <m/>
    <s v="active"/>
    <s v="He/Him/His"/>
    <s v="India"/>
    <s v="adamyab@tekion.com"/>
    <d v="2025-12-04T00:00:00"/>
    <n v="0.23"/>
    <s v="Senior Product Manager"/>
    <s v="Product Mgmt"/>
    <s v="P3B"/>
    <s v="Individual Contributor"/>
    <d v="2025-04-12T00:00:00"/>
    <x v="7"/>
    <s v="thilakgtn@tekion.com"/>
    <s v="Product Management"/>
    <x v="0"/>
    <s v="teza@tekion.com"/>
    <x v="4"/>
    <s v="slingutla@tekion.com"/>
    <m/>
    <m/>
    <s v="ic"/>
    <n v="0"/>
    <n v="0"/>
    <n v="0"/>
    <x v="0"/>
  </r>
  <r>
    <d v="2026-01-02T00:00:00"/>
    <s v="02/28/2026"/>
    <s v="Chandrasekaran G"/>
    <s v="G"/>
    <s v="Chandrasekaran"/>
    <m/>
    <s v="active"/>
    <m/>
    <s v="India"/>
    <s v="cgovindasamy@tekion.com"/>
    <d v="2020-06-17T00:00:00"/>
    <n v="5.7"/>
    <s v="Lead Software Engineer"/>
    <s v="Software Engineering"/>
    <s v="P4"/>
    <s v="Individual Contributor"/>
    <d v="2024-06-09T00:00:00"/>
    <x v="34"/>
    <s v="bsubramanian@tekion.com"/>
    <s v="Engineering"/>
    <x v="0"/>
    <s v="teza@tekion.com"/>
    <x v="2"/>
    <s v="vijay@tekion.com"/>
    <m/>
    <m/>
    <s v="ic"/>
    <n v="0"/>
    <n v="0"/>
    <n v="1"/>
    <x v="0"/>
  </r>
  <r>
    <d v="2026-01-02T00:00:00"/>
    <s v="02/28/2026"/>
    <s v="Velmurugan Dhanigaivel"/>
    <s v="Dhanigaivel"/>
    <s v="Velmurugan"/>
    <m/>
    <s v="active"/>
    <m/>
    <s v="India"/>
    <s v="vdhanigaivel@tekion.com"/>
    <d v="2021-10-18T00:00:00"/>
    <n v="4.3600000000000003"/>
    <s v="Senior Staff Application Support Engineer"/>
    <s v="Application Support"/>
    <s v="P5"/>
    <s v="Individual Contributor"/>
    <d v="2025-10-04T00:00:00"/>
    <x v="27"/>
    <s v="vijay@tekion.com"/>
    <s v="Engineering"/>
    <x v="0"/>
    <s v="teza@tekion.com"/>
    <x v="2"/>
    <s v="vijay@tekion.com"/>
    <m/>
    <m/>
    <s v="manager"/>
    <n v="1"/>
    <n v="1"/>
    <n v="1"/>
    <x v="0"/>
  </r>
  <r>
    <d v="2026-01-02T00:00:00"/>
    <s v="02/28/2026"/>
    <s v="Nagalakshmi Vadlamani"/>
    <s v="Vadlamani"/>
    <s v="Nagalakshmi"/>
    <m/>
    <s v="active"/>
    <m/>
    <s v="India"/>
    <s v="nvadlamani@tekion.com"/>
    <d v="2021-05-17T00:00:00"/>
    <n v="4.78"/>
    <s v="Lead Software Engineer"/>
    <s v="Software Engineering"/>
    <s v="P4"/>
    <s v="Individual Contributor"/>
    <s v="8/27/2024"/>
    <x v="42"/>
    <s v="csamarpuri@tekion.com"/>
    <s v="Engineering"/>
    <x v="0"/>
    <s v="teza@tekion.com"/>
    <x v="0"/>
    <s v="rsarabu@tekion.com"/>
    <m/>
    <m/>
    <s v="manager"/>
    <n v="0"/>
    <n v="0"/>
    <n v="1"/>
    <x v="0"/>
  </r>
  <r>
    <d v="2026-01-02T00:00:00"/>
    <s v="02/28/2026"/>
    <s v="Thiyagarajan Palanivel"/>
    <s v="Palanivel"/>
    <s v="Thiyagarajan"/>
    <m/>
    <s v="active"/>
    <s v="He"/>
    <s v="India"/>
    <s v="tpalanivel@tekion.com"/>
    <d v="2022-04-28T00:00:00"/>
    <n v="3.83"/>
    <s v="Application Support Engineer II"/>
    <s v="Application Support"/>
    <s v="P3A"/>
    <s v="Individual Contributor"/>
    <d v="2025-10-04T00:00:00"/>
    <x v="35"/>
    <s v="vdhanigaivel@tekion.com"/>
    <s v="Engineering"/>
    <x v="0"/>
    <s v="teza@tekion.com"/>
    <x v="2"/>
    <s v="vijay@tekion.com"/>
    <m/>
    <m/>
    <s v="ic"/>
    <n v="0"/>
    <n v="0"/>
    <n v="0"/>
    <x v="0"/>
  </r>
  <r>
    <d v="2026-01-02T00:00:00"/>
    <s v="02/28/2026"/>
    <s v="Jeya Kumar R"/>
    <s v="Kumar R"/>
    <s v="Jeya"/>
    <m/>
    <s v="active"/>
    <s v="Jk"/>
    <s v="India"/>
    <s v="jkumar@tekion.com"/>
    <d v="2021-01-04T00:00:00"/>
    <n v="5.15"/>
    <s v="Lead Software Engineer"/>
    <s v="Software Engineering"/>
    <s v="P4"/>
    <s v="Individual Contributor"/>
    <d v="2024-06-09T00:00:00"/>
    <x v="3"/>
    <s v="mramasamy@tekion.com"/>
    <s v="Engineering"/>
    <x v="0"/>
    <s v="teza@tekion.com"/>
    <x v="2"/>
    <s v="vijay@tekion.com"/>
    <m/>
    <m/>
    <s v="manager"/>
    <n v="1"/>
    <n v="1"/>
    <n v="2"/>
    <x v="0"/>
  </r>
  <r>
    <d v="2026-01-02T00:00:00"/>
    <s v="02/28/2026"/>
    <s v="Meenakshi Devaraj"/>
    <s v="Devaraj"/>
    <s v="Meenakshi"/>
    <m/>
    <s v="active"/>
    <s v="She"/>
    <s v="India"/>
    <s v="meenakshid@tekion.com"/>
    <d v="2023-02-20T00:00:00"/>
    <n v="3.02"/>
    <s v="Automation QA Engineer II"/>
    <s v="Automation QA"/>
    <s v="P3A"/>
    <s v="Individual Contributor"/>
    <s v="8/27/2024"/>
    <x v="4"/>
    <s v="schandravelu@tekion.com"/>
    <s v="Engineering"/>
    <x v="0"/>
    <s v="teza@tekion.com"/>
    <x v="0"/>
    <s v="rsarabu@tekion.com"/>
    <m/>
    <m/>
    <s v="ic"/>
    <n v="0"/>
    <n v="0"/>
    <n v="1"/>
    <x v="0"/>
  </r>
  <r>
    <d v="2026-01-02T00:00:00"/>
    <s v="02/28/2026"/>
    <s v="Meganathan V"/>
    <s v="V"/>
    <s v="Meganathan"/>
    <m/>
    <s v="active"/>
    <m/>
    <s v="India"/>
    <s v="meganathanv@tekion.com"/>
    <d v="2022-09-05T00:00:00"/>
    <n v="3.48"/>
    <s v="Software Engineer I"/>
    <s v="Software Engineering"/>
    <s v="P2"/>
    <s v="Individual Contributor"/>
    <d v="2025-10-04T00:00:00"/>
    <x v="25"/>
    <s v="rmjayakumar@tekion.com"/>
    <s v="Engineering"/>
    <x v="0"/>
    <s v="teza@tekion.com"/>
    <x v="2"/>
    <s v="vijay@tekion.com"/>
    <m/>
    <m/>
    <s v="ic"/>
    <n v="1"/>
    <n v="1"/>
    <n v="1"/>
    <x v="0"/>
  </r>
  <r>
    <d v="2026-01-02T00:00:00"/>
    <s v="02/28/2026"/>
    <s v="Dadly Berin"/>
    <s v="Berin"/>
    <s v="Dadly"/>
    <s v="Asia/Calcutta"/>
    <s v="active"/>
    <s v="He"/>
    <s v="India"/>
    <s v="dberin@tekion.com"/>
    <d v="2022-03-10T00:00:00"/>
    <n v="3.97"/>
    <s v="Senior IT Technical Support Engineer"/>
    <s v="IT Technical Support"/>
    <s v="S5"/>
    <s v="Individual Contributor"/>
    <d v="2025-10-04T00:00:00"/>
    <x v="20"/>
    <s v="pbalasubramaniam@tekion.com"/>
    <s v="IT"/>
    <x v="0"/>
    <s v="teza@tekion.com"/>
    <x v="2"/>
    <s v="vijay@tekion.com"/>
    <m/>
    <m/>
    <s v="ic"/>
    <n v="0"/>
    <n v="0"/>
    <n v="2"/>
    <x v="0"/>
  </r>
  <r>
    <d v="2026-01-02T00:00:00"/>
    <s v="02/28/2026"/>
    <s v="Sountherya M"/>
    <s v="M"/>
    <s v="Sountherya"/>
    <m/>
    <s v="active"/>
    <m/>
    <s v="India"/>
    <s v="sountheryam@tekion.com"/>
    <d v="2022-04-11T00:00:00"/>
    <n v="3.88"/>
    <s v="Automation QA Engineer II"/>
    <s v="Automation QA"/>
    <s v="P3A"/>
    <s v="Individual Contributor"/>
    <d v="2025-10-04T00:00:00"/>
    <x v="39"/>
    <s v="ssamuthirapandi@tekion.com"/>
    <s v="Engineering"/>
    <x v="0"/>
    <s v="teza@tekion.com"/>
    <x v="0"/>
    <s v="rsarabu@tekion.com"/>
    <m/>
    <m/>
    <s v="ic"/>
    <n v="0"/>
    <n v="0"/>
    <n v="0"/>
    <x v="0"/>
  </r>
  <r>
    <d v="2026-01-02T00:00:00"/>
    <s v="02/28/2026"/>
    <s v="Subash ."/>
    <s v=" ."/>
    <s v="Subash"/>
    <m/>
    <s v="active"/>
    <s v="He/Him/His"/>
    <s v="India"/>
    <s v="subashp@tekion.com"/>
    <d v="2021-09-16T00:00:00"/>
    <n v="4.45"/>
    <s v="Staff Software Engineer"/>
    <s v="Software Engineering"/>
    <s v="P4"/>
    <s v="Individual Contributor"/>
    <s v="8/27/2024"/>
    <x v="36"/>
    <s v="mmohamed@tekion.com"/>
    <s v="Engineering"/>
    <x v="0"/>
    <s v="teza@tekion.com"/>
    <x v="2"/>
    <s v="vijay@tekion.com"/>
    <m/>
    <m/>
    <s v="ic"/>
    <n v="2"/>
    <n v="1"/>
    <n v="2"/>
    <x v="0"/>
  </r>
  <r>
    <d v="2026-01-02T00:00:00"/>
    <s v="02/28/2026"/>
    <s v="Mahadeer Mohamed"/>
    <s v="Mohamed"/>
    <s v="Mahadeer"/>
    <m/>
    <s v="active"/>
    <s v="Mahadeer"/>
    <s v="India"/>
    <s v="mmohamed@tekion.com"/>
    <d v="2022-01-17T00:00:00"/>
    <n v="4.1100000000000003"/>
    <s v="Staff Software Engineer"/>
    <s v="Software Engineering"/>
    <s v="P4"/>
    <s v="Individual Contributor"/>
    <d v="2024-06-09T00:00:00"/>
    <x v="34"/>
    <s v="bsubramanian@tekion.com"/>
    <s v="Engineering"/>
    <x v="0"/>
    <s v="teza@tekion.com"/>
    <x v="2"/>
    <s v="vijay@tekion.com"/>
    <m/>
    <m/>
    <s v="manager"/>
    <n v="1"/>
    <n v="1"/>
    <n v="1"/>
    <x v="0"/>
  </r>
  <r>
    <d v="2026-01-02T00:00:00"/>
    <s v="02/28/2026"/>
    <s v="Santhosh Kasiviswanathan"/>
    <s v="Kasiviswanathan"/>
    <s v="Santhosh"/>
    <s v="America/Los_Angeles"/>
    <s v="active"/>
    <s v="He"/>
    <s v="India"/>
    <s v="skasiviswanathan@tekion.com"/>
    <d v="2022-12-08T00:00:00"/>
    <n v="3.22"/>
    <s v="Software Engineer I"/>
    <s v="Software Engineering"/>
    <s v="P2"/>
    <s v="Individual Contributor"/>
    <d v="2025-02-11T00:00:00"/>
    <x v="15"/>
    <s v="sivas@tekion.com"/>
    <s v="Engineering"/>
    <x v="0"/>
    <s v="teza@tekion.com"/>
    <x v="0"/>
    <s v="rsarabu@tekion.com"/>
    <m/>
    <m/>
    <s v="ic"/>
    <n v="0"/>
    <n v="0"/>
    <n v="4"/>
    <x v="0"/>
  </r>
  <r>
    <d v="2026-01-02T00:00:00"/>
    <s v="02/28/2026"/>
    <s v="Gopi Senthil Kumaran"/>
    <s v="Senthil Kumaran"/>
    <s v="Gopi"/>
    <m/>
    <s v="active"/>
    <m/>
    <s v="India"/>
    <s v="gskumaran@tekion.com"/>
    <d v="2021-06-28T00:00:00"/>
    <n v="4.67"/>
    <s v="Senior Software Engineer"/>
    <s v="Software Engineering"/>
    <s v="P3B"/>
    <s v="Individual Contributor"/>
    <d v="2025-10-04T00:00:00"/>
    <x v="21"/>
    <s v="srinivasans@tekion.com"/>
    <s v="Engineering"/>
    <x v="0"/>
    <s v="teza@tekion.com"/>
    <x v="2"/>
    <s v="vijay@tekion.com"/>
    <m/>
    <m/>
    <s v="ic"/>
    <n v="0"/>
    <n v="0"/>
    <n v="0"/>
    <x v="0"/>
  </r>
  <r>
    <d v="2026-01-02T00:00:00"/>
    <s v="02/28/2026"/>
    <s v="Nithin K"/>
    <s v="K"/>
    <s v="Nithin"/>
    <m/>
    <s v="active"/>
    <s v="He"/>
    <s v="India"/>
    <s v="nithink@tekion.com"/>
    <d v="2023-07-06T00:00:00"/>
    <n v="2.64"/>
    <s v="Software Engineer I"/>
    <s v="Software Engineering"/>
    <s v="P2"/>
    <s v="Individual Contributor"/>
    <d v="2025-10-04T00:00:00"/>
    <x v="15"/>
    <s v="sivas@tekion.com"/>
    <s v="Engineering"/>
    <x v="0"/>
    <s v="teza@tekion.com"/>
    <x v="0"/>
    <s v="rsarabu@tekion.com"/>
    <m/>
    <m/>
    <s v="ic"/>
    <n v="0"/>
    <n v="0"/>
    <n v="4"/>
    <x v="0"/>
  </r>
  <r>
    <d v="2026-01-02T00:00:00"/>
    <s v="02/28/2026"/>
    <s v="Vijay Kumar S"/>
    <s v="Kumar S"/>
    <s v="Vijay"/>
    <m/>
    <s v="active"/>
    <s v="He"/>
    <s v="India"/>
    <s v="vijayks@tekion.com"/>
    <d v="2022-09-10T00:00:00"/>
    <n v="3.47"/>
    <s v="Software Engineer I"/>
    <s v="Software Engineering"/>
    <s v="P2"/>
    <s v="Individual Contributor"/>
    <s v="8/27/2024"/>
    <x v="0"/>
    <s v="vnellaiyappan@tekion.com"/>
    <s v="Engineering"/>
    <x v="0"/>
    <s v="teza@tekion.com"/>
    <x v="0"/>
    <s v="rsarabu@tekion.com"/>
    <m/>
    <m/>
    <s v="ic"/>
    <n v="0"/>
    <n v="0"/>
    <n v="1"/>
    <x v="0"/>
  </r>
  <r>
    <d v="2026-01-02T00:00:00"/>
    <s v="02/28/2026"/>
    <s v="Satyendra Kumar"/>
    <s v="Kumar"/>
    <s v="Satyendra"/>
    <m/>
    <s v="active"/>
    <s v="He"/>
    <s v="India"/>
    <s v="satyendrak@tekion.com"/>
    <d v="2023-04-17T00:00:00"/>
    <n v="2.86"/>
    <s v="Senior Security Engineer"/>
    <s v="Security Engineering"/>
    <s v="P3B"/>
    <s v="Individual Contributor"/>
    <s v="8/27/2024"/>
    <x v="11"/>
    <s v="bprashanth@tekion.com"/>
    <s v="Engineering"/>
    <x v="1"/>
    <s v="kbhattacharya@tekion.com"/>
    <x v="5"/>
    <s v="achourasia@tekion.com"/>
    <m/>
    <m/>
    <s v="ic"/>
    <n v="0"/>
    <n v="0"/>
    <n v="0"/>
    <x v="0"/>
  </r>
  <r>
    <d v="2026-01-02T00:00:00"/>
    <s v="02/28/2026"/>
    <s v="Saravanan S R"/>
    <s v="S R"/>
    <s v="Saravanan"/>
    <s v="Asia/Calcutta"/>
    <s v="active"/>
    <s v="He/Him/His"/>
    <s v="India"/>
    <s v="saravanansr@tekion.com"/>
    <d v="2022-02-21T00:00:00"/>
    <n v="4.0199999999999996"/>
    <s v="Senior Software Engineer"/>
    <s v="Software Engineering"/>
    <s v="P3B"/>
    <s v="Individual Contributor"/>
    <d v="2025-10-04T00:00:00"/>
    <x v="2"/>
    <s v="knatarajan@tekion.com"/>
    <s v="Engineering"/>
    <x v="0"/>
    <s v="teza@tekion.com"/>
    <x v="2"/>
    <s v="vijay@tekion.com"/>
    <m/>
    <m/>
    <s v="ic"/>
    <n v="0"/>
    <n v="0"/>
    <n v="1"/>
    <x v="0"/>
  </r>
  <r>
    <d v="2026-01-02T00:00:00"/>
    <s v="02/28/2026"/>
    <s v="Vignesh Murugan"/>
    <s v="Murugan"/>
    <s v="Vignesh"/>
    <m/>
    <s v="active"/>
    <m/>
    <s v="India"/>
    <s v="vmurugan@tekion.com"/>
    <d v="2019-01-01T00:00:00"/>
    <n v="7.16"/>
    <s v="Software Engineer II"/>
    <s v="Software Engineering"/>
    <s v="P3A"/>
    <s v="Individual Contributor"/>
    <s v="8/27/2024"/>
    <x v="25"/>
    <s v="rmjayakumar@tekion.com"/>
    <s v="Engineering"/>
    <x v="0"/>
    <s v="teza@tekion.com"/>
    <x v="2"/>
    <s v="vijay@tekion.com"/>
    <m/>
    <m/>
    <s v="ic"/>
    <n v="0"/>
    <n v="0"/>
    <n v="0"/>
    <x v="0"/>
  </r>
  <r>
    <d v="2026-01-02T00:00:00"/>
    <s v="02/28/2026"/>
    <s v="Abhishek Nikam"/>
    <s v="Nikam"/>
    <s v="Abhishek"/>
    <m/>
    <s v="active"/>
    <m/>
    <s v="India"/>
    <s v="anikam@tekion.com"/>
    <d v="2025-12-24T00:00:00"/>
    <n v="0.18"/>
    <s v="Associate Software Engineer"/>
    <s v="Software Engineering"/>
    <s v="P1"/>
    <s v="Individual Contributor"/>
    <s v="12/24/2025"/>
    <x v="28"/>
    <s v="ramjibs@tekion.com"/>
    <s v="Engineering"/>
    <x v="0"/>
    <s v="teza@tekion.com"/>
    <x v="2"/>
    <s v="vijay@tekion.com"/>
    <m/>
    <m/>
    <s v="ic"/>
    <n v="0"/>
    <n v="0"/>
    <n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8F16C9-6B4A-49AC-B547-379140C97F8E}" name="PivotTable1" cacheId="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anager Name">
  <location ref="A5:C51" firstHeaderRow="0" firstDataRow="1" firstDataCol="1" rowPageCount="3" colPageCount="1"/>
  <pivotFields count="31">
    <pivotField numFmtId="14" showAll="0"/>
    <pivotField showAll="0"/>
    <pivotField dataField="1" showAll="0"/>
    <pivotField showAll="0"/>
    <pivotField showAll="0"/>
    <pivotField showAll="0"/>
    <pivotField showAll="0"/>
    <pivotField showAll="0"/>
    <pivotField showAll="0"/>
    <pivotField showAll="0"/>
    <pivotField numFmtId="15" showAll="0"/>
    <pivotField showAll="0"/>
    <pivotField showAll="0"/>
    <pivotField showAll="0"/>
    <pivotField showAll="0"/>
    <pivotField showAll="0"/>
    <pivotField showAll="0"/>
    <pivotField axis="axisRow" showAll="0">
      <items count="354">
        <item m="1" x="104"/>
        <item m="1" x="178"/>
        <item m="1" x="142"/>
        <item m="1" x="202"/>
        <item m="1" x="308"/>
        <item m="1" x="170"/>
        <item x="13"/>
        <item m="1" x="239"/>
        <item m="1" x="58"/>
        <item m="1" x="265"/>
        <item m="1" x="129"/>
        <item m="1" x="108"/>
        <item m="1" x="257"/>
        <item m="1" x="222"/>
        <item m="1" x="288"/>
        <item m="1" x="248"/>
        <item m="1" x="125"/>
        <item m="1" x="219"/>
        <item m="1" x="217"/>
        <item m="1" x="240"/>
        <item m="1" x="284"/>
        <item m="1" x="74"/>
        <item m="1" x="165"/>
        <item m="1" x="143"/>
        <item m="1" x="336"/>
        <item m="1" x="261"/>
        <item m="1" x="270"/>
        <item m="1" x="286"/>
        <item m="1" x="251"/>
        <item m="1" x="186"/>
        <item m="1" x="131"/>
        <item m="1" x="293"/>
        <item m="1" x="290"/>
        <item m="1" x="116"/>
        <item m="1" x="133"/>
        <item m="1" x="103"/>
        <item m="1" x="76"/>
        <item m="1" x="279"/>
        <item m="1" x="230"/>
        <item m="1" x="347"/>
        <item m="1" x="247"/>
        <item x="43"/>
        <item m="1" x="151"/>
        <item m="1" x="218"/>
        <item m="1" x="47"/>
        <item m="1" x="179"/>
        <item m="1" x="255"/>
        <item m="1" x="81"/>
        <item m="1" x="57"/>
        <item m="1" x="200"/>
        <item m="1" x="274"/>
        <item m="1" x="305"/>
        <item m="1" x="107"/>
        <item m="1" x="73"/>
        <item m="1" x="351"/>
        <item m="1" x="163"/>
        <item m="1" x="210"/>
        <item m="1" x="89"/>
        <item x="34"/>
        <item x="33"/>
        <item m="1" x="339"/>
        <item m="1" x="300"/>
        <item m="1" x="352"/>
        <item m="1" x="72"/>
        <item m="1" x="96"/>
        <item m="1" x="328"/>
        <item x="11"/>
        <item m="1" x="52"/>
        <item x="8"/>
        <item m="1" x="220"/>
        <item m="1" x="66"/>
        <item m="1" x="271"/>
        <item x="42"/>
        <item m="1" x="184"/>
        <item m="1" x="141"/>
        <item m="1" x="244"/>
        <item m="1" x="50"/>
        <item m="1" x="121"/>
        <item m="1" x="253"/>
        <item m="1" x="77"/>
        <item m="1" x="323"/>
        <item m="1" x="207"/>
        <item m="1" x="213"/>
        <item x="32"/>
        <item m="1" x="98"/>
        <item m="1" x="154"/>
        <item m="1" x="71"/>
        <item m="1" x="194"/>
        <item m="1" x="243"/>
        <item m="1" x="221"/>
        <item m="1" x="56"/>
        <item m="1" x="176"/>
        <item m="1" x="189"/>
        <item m="1" x="169"/>
        <item m="1" x="174"/>
        <item m="1" x="268"/>
        <item m="1" x="280"/>
        <item m="1" x="146"/>
        <item m="1" x="201"/>
        <item m="1" x="111"/>
        <item m="1" x="233"/>
        <item m="1" x="95"/>
        <item m="1" x="65"/>
        <item m="1" x="55"/>
        <item m="1" x="299"/>
        <item m="1" x="46"/>
        <item m="1" x="319"/>
        <item m="1" x="295"/>
        <item x="16"/>
        <item x="31"/>
        <item m="1" x="180"/>
        <item m="1" x="306"/>
        <item m="1" x="344"/>
        <item m="1" x="228"/>
        <item m="1" x="100"/>
        <item x="1"/>
        <item m="1" x="182"/>
        <item m="1" x="341"/>
        <item m="1" x="168"/>
        <item x="38"/>
        <item x="17"/>
        <item m="1" x="348"/>
        <item m="1" x="292"/>
        <item x="18"/>
        <item m="1" x="188"/>
        <item m="1" x="316"/>
        <item m="1" x="160"/>
        <item m="1" x="192"/>
        <item x="40"/>
        <item m="1" x="79"/>
        <item m="1" x="175"/>
        <item m="1" x="171"/>
        <item m="1" x="92"/>
        <item m="1" x="167"/>
        <item m="1" x="343"/>
        <item m="1" x="298"/>
        <item m="1" x="106"/>
        <item x="2"/>
        <item m="1" x="112"/>
        <item m="1" x="161"/>
        <item m="1" x="250"/>
        <item x="5"/>
        <item m="1" x="140"/>
        <item m="1" x="147"/>
        <item m="1" x="287"/>
        <item m="1" x="209"/>
        <item m="1" x="101"/>
        <item m="1" x="198"/>
        <item x="36"/>
        <item x="44"/>
        <item m="1" x="173"/>
        <item x="3"/>
        <item m="1" x="185"/>
        <item m="1" x="156"/>
        <item m="1" x="137"/>
        <item x="41"/>
        <item m="1" x="235"/>
        <item m="1" x="324"/>
        <item m="1" x="283"/>
        <item m="1" x="275"/>
        <item m="1" x="281"/>
        <item m="1" x="118"/>
        <item m="1" x="318"/>
        <item x="9"/>
        <item m="1" x="150"/>
        <item m="1" x="301"/>
        <item m="1" x="337"/>
        <item m="1" x="134"/>
        <item m="1" x="277"/>
        <item m="1" x="190"/>
        <item m="1" x="254"/>
        <item m="1" x="215"/>
        <item m="1" x="259"/>
        <item m="1" x="97"/>
        <item m="1" x="110"/>
        <item m="1" x="187"/>
        <item m="1" x="278"/>
        <item m="1" x="49"/>
        <item m="1" x="204"/>
        <item x="30"/>
        <item x="23"/>
        <item m="1" x="102"/>
        <item m="1" x="51"/>
        <item m="1" x="273"/>
        <item m="1" x="135"/>
        <item m="1" x="241"/>
        <item m="1" x="124"/>
        <item m="1" x="338"/>
        <item m="1" x="350"/>
        <item m="1" x="245"/>
        <item m="1" x="59"/>
        <item m="1" x="87"/>
        <item m="1" x="114"/>
        <item m="1" x="149"/>
        <item m="1" x="126"/>
        <item m="1" x="317"/>
        <item m="1" x="226"/>
        <item m="1" x="229"/>
        <item m="1" x="216"/>
        <item m="1" x="183"/>
        <item m="1" x="330"/>
        <item x="20"/>
        <item m="1" x="262"/>
        <item m="1" x="249"/>
        <item m="1" x="145"/>
        <item m="1" x="303"/>
        <item m="1" x="214"/>
        <item x="10"/>
        <item m="1" x="70"/>
        <item m="1" x="264"/>
        <item m="1" x="223"/>
        <item m="1" x="127"/>
        <item m="1" x="78"/>
        <item m="1" x="195"/>
        <item m="1" x="333"/>
        <item m="1" x="285"/>
        <item m="1" x="115"/>
        <item m="1" x="85"/>
        <item m="1" x="54"/>
        <item m="1" x="315"/>
        <item m="1" x="91"/>
        <item m="1" x="314"/>
        <item m="1" x="193"/>
        <item m="1" x="325"/>
        <item m="1" x="242"/>
        <item m="1" x="123"/>
        <item m="1" x="225"/>
        <item m="1" x="68"/>
        <item x="25"/>
        <item m="1" x="212"/>
        <item x="37"/>
        <item x="26"/>
        <item m="1" x="206"/>
        <item m="1" x="349"/>
        <item m="1" x="122"/>
        <item x="29"/>
        <item x="28"/>
        <item m="1" x="320"/>
        <item m="1" x="117"/>
        <item m="1" x="311"/>
        <item m="1" x="205"/>
        <item m="1" x="48"/>
        <item m="1" x="130"/>
        <item m="1" x="335"/>
        <item m="1" x="266"/>
        <item m="1" x="234"/>
        <item m="1" x="309"/>
        <item m="1" x="164"/>
        <item m="1" x="166"/>
        <item m="1" x="340"/>
        <item m="1" x="63"/>
        <item m="1" x="313"/>
        <item m="1" x="346"/>
        <item m="1" x="67"/>
        <item m="1" x="272"/>
        <item m="1" x="152"/>
        <item m="1" x="329"/>
        <item m="1" x="252"/>
        <item m="1" x="236"/>
        <item m="1" x="296"/>
        <item m="1" x="94"/>
        <item m="1" x="82"/>
        <item m="1" x="138"/>
        <item m="1" x="237"/>
        <item m="1" x="99"/>
        <item m="1" x="90"/>
        <item m="1" x="196"/>
        <item m="1" x="263"/>
        <item m="1" x="282"/>
        <item m="1" x="86"/>
        <item m="1" x="331"/>
        <item m="1" x="45"/>
        <item m="1" x="208"/>
        <item m="1" x="155"/>
        <item m="1" x="302"/>
        <item m="1" x="258"/>
        <item m="1" x="211"/>
        <item m="1" x="128"/>
        <item m="1" x="321"/>
        <item m="1" x="327"/>
        <item m="1" x="93"/>
        <item m="1" x="53"/>
        <item m="1" x="80"/>
        <item m="1" x="276"/>
        <item m="1" x="119"/>
        <item m="1" x="159"/>
        <item m="1" x="113"/>
        <item m="1" x="322"/>
        <item x="15"/>
        <item x="12"/>
        <item x="4"/>
        <item m="1" x="109"/>
        <item m="1" x="172"/>
        <item m="1" x="162"/>
        <item m="1" x="294"/>
        <item m="1" x="332"/>
        <item x="6"/>
        <item x="21"/>
        <item m="1" x="291"/>
        <item m="1" x="144"/>
        <item m="1" x="304"/>
        <item m="1" x="238"/>
        <item m="1" x="203"/>
        <item m="1" x="158"/>
        <item m="1" x="61"/>
        <item x="39"/>
        <item m="1" x="60"/>
        <item x="22"/>
        <item m="1" x="260"/>
        <item m="1" x="132"/>
        <item m="1" x="105"/>
        <item m="1" x="136"/>
        <item m="1" x="232"/>
        <item m="1" x="139"/>
        <item x="7"/>
        <item x="19"/>
        <item m="1" x="256"/>
        <item m="1" x="120"/>
        <item m="1" x="199"/>
        <item m="1" x="84"/>
        <item m="1" x="345"/>
        <item m="1" x="157"/>
        <item m="1" x="297"/>
        <item m="1" x="177"/>
        <item x="14"/>
        <item m="1" x="191"/>
        <item m="1" x="269"/>
        <item m="1" x="88"/>
        <item m="1" x="307"/>
        <item x="35"/>
        <item x="24"/>
        <item m="1" x="334"/>
        <item m="1" x="267"/>
        <item m="1" x="75"/>
        <item m="1" x="181"/>
        <item x="0"/>
        <item x="27"/>
        <item m="1" x="197"/>
        <item m="1" x="231"/>
        <item m="1" x="148"/>
        <item m="1" x="342"/>
        <item m="1" x="64"/>
        <item m="1" x="326"/>
        <item m="1" x="310"/>
        <item m="1" x="227"/>
        <item m="1" x="62"/>
        <item m="1" x="224"/>
        <item m="1" x="246"/>
        <item m="1" x="69"/>
        <item m="1" x="289"/>
        <item m="1" x="153"/>
        <item m="1" x="83"/>
        <item m="1" x="312"/>
        <item t="default"/>
      </items>
    </pivotField>
    <pivotField showAll="0"/>
    <pivotField showAll="0"/>
    <pivotField axis="axisPage" multipleItemSelectionAllowed="1" showAll="0">
      <items count="25">
        <item h="1" m="1" x="18"/>
        <item h="1" m="1" x="23"/>
        <item h="1" m="1" x="22"/>
        <item h="1" m="1" x="20"/>
        <item h="1" m="1" x="12"/>
        <item h="1" m="1" x="19"/>
        <item h="1" m="1" x="15"/>
        <item h="1" m="1" x="8"/>
        <item x="1"/>
        <item h="1" m="1" x="3"/>
        <item h="1" m="1" x="14"/>
        <item h="1" m="1" x="21"/>
        <item h="1" m="1" x="16"/>
        <item h="1" m="1" x="6"/>
        <item h="1" m="1" x="9"/>
        <item h="1" m="1" x="5"/>
        <item h="1" m="1" x="11"/>
        <item h="1" m="1" x="2"/>
        <item h="1" m="1" x="10"/>
        <item h="1" m="1" x="7"/>
        <item x="0"/>
        <item h="1" m="1" x="17"/>
        <item h="1" m="1" x="4"/>
        <item h="1" m="1" x="13"/>
        <item t="default"/>
      </items>
    </pivotField>
    <pivotField showAll="0"/>
    <pivotField axis="axisPage" showAll="0">
      <items count="92">
        <item x="5"/>
        <item m="1" x="18"/>
        <item m="1" x="10"/>
        <item m="1" x="61"/>
        <item m="1" x="54"/>
        <item m="1" x="64"/>
        <item m="1" x="39"/>
        <item m="1" x="63"/>
        <item m="1" x="41"/>
        <item m="1" x="25"/>
        <item m="1" x="9"/>
        <item m="1" x="45"/>
        <item m="1" x="90"/>
        <item m="1" x="70"/>
        <item m="1" x="80"/>
        <item m="1" x="26"/>
        <item m="1" x="32"/>
        <item m="1" x="14"/>
        <item m="1" x="55"/>
        <item m="1" x="19"/>
        <item m="1" x="50"/>
        <item m="1" x="85"/>
        <item m="1" x="66"/>
        <item m="1" x="29"/>
        <item m="1" x="37"/>
        <item m="1" x="24"/>
        <item m="1" x="69"/>
        <item m="1" x="67"/>
        <item m="1" x="56"/>
        <item m="1" x="40"/>
        <item m="1" x="46"/>
        <item m="1" x="52"/>
        <item m="1" x="89"/>
        <item m="1" x="71"/>
        <item x="1"/>
        <item m="1" x="62"/>
        <item m="1" x="78"/>
        <item m="1" x="60"/>
        <item m="1" x="20"/>
        <item m="1" x="88"/>
        <item m="1" x="44"/>
        <item m="1" x="31"/>
        <item x="3"/>
        <item m="1" x="57"/>
        <item m="1" x="8"/>
        <item m="1" x="86"/>
        <item m="1" x="81"/>
        <item m="1" x="51"/>
        <item m="1" x="77"/>
        <item m="1" x="74"/>
        <item m="1" x="58"/>
        <item m="1" x="72"/>
        <item m="1" x="15"/>
        <item m="1" x="11"/>
        <item m="1" x="43"/>
        <item m="1" x="84"/>
        <item m="1" x="65"/>
        <item m="1" x="48"/>
        <item x="0"/>
        <item m="1" x="79"/>
        <item m="1" x="47"/>
        <item m="1" x="73"/>
        <item m="1" x="87"/>
        <item m="1" x="30"/>
        <item m="1" x="76"/>
        <item m="1" x="36"/>
        <item m="1" x="33"/>
        <item m="1" x="38"/>
        <item m="1" x="35"/>
        <item m="1" x="22"/>
        <item m="1" x="34"/>
        <item m="1" x="7"/>
        <item m="1" x="75"/>
        <item m="1" x="12"/>
        <item m="1" x="59"/>
        <item x="4"/>
        <item m="1" x="82"/>
        <item m="1" x="13"/>
        <item m="1" x="53"/>
        <item m="1" x="16"/>
        <item m="1" x="42"/>
        <item m="1" x="49"/>
        <item x="6"/>
        <item m="1" x="21"/>
        <item m="1" x="28"/>
        <item x="2"/>
        <item m="1" x="68"/>
        <item m="1" x="83"/>
        <item m="1" x="23"/>
        <item m="1" x="17"/>
        <item m="1" x="27"/>
        <item t="default"/>
      </items>
    </pivotField>
    <pivotField showAll="0"/>
    <pivotField showAll="0"/>
    <pivotField showAll="0"/>
    <pivotField showAll="0"/>
    <pivotField showAll="0"/>
    <pivotField dataField="1" showAll="0"/>
    <pivotField showAll="0"/>
    <pivotField axis="axisPage" showAll="0">
      <items count="9">
        <item m="1" x="1"/>
        <item m="1" x="6"/>
        <item m="1" x="3"/>
        <item m="1" x="2"/>
        <item m="1" x="4"/>
        <item m="1" x="5"/>
        <item x="0"/>
        <item m="1" x="7"/>
        <item t="default"/>
      </items>
    </pivotField>
  </pivotFields>
  <rowFields count="1">
    <field x="17"/>
  </rowFields>
  <rowItems count="46">
    <i>
      <x v="6"/>
    </i>
    <i>
      <x v="41"/>
    </i>
    <i>
      <x v="58"/>
    </i>
    <i>
      <x v="59"/>
    </i>
    <i>
      <x v="66"/>
    </i>
    <i>
      <x v="68"/>
    </i>
    <i>
      <x v="72"/>
    </i>
    <i>
      <x v="83"/>
    </i>
    <i>
      <x v="108"/>
    </i>
    <i>
      <x v="109"/>
    </i>
    <i>
      <x v="115"/>
    </i>
    <i>
      <x v="119"/>
    </i>
    <i>
      <x v="120"/>
    </i>
    <i>
      <x v="123"/>
    </i>
    <i>
      <x v="128"/>
    </i>
    <i>
      <x v="137"/>
    </i>
    <i>
      <x v="141"/>
    </i>
    <i>
      <x v="148"/>
    </i>
    <i>
      <x v="149"/>
    </i>
    <i>
      <x v="151"/>
    </i>
    <i>
      <x v="155"/>
    </i>
    <i>
      <x v="163"/>
    </i>
    <i>
      <x v="179"/>
    </i>
    <i>
      <x v="180"/>
    </i>
    <i>
      <x v="201"/>
    </i>
    <i>
      <x v="207"/>
    </i>
    <i>
      <x v="228"/>
    </i>
    <i>
      <x v="230"/>
    </i>
    <i>
      <x v="231"/>
    </i>
    <i>
      <x v="235"/>
    </i>
    <i>
      <x v="236"/>
    </i>
    <i>
      <x v="288"/>
    </i>
    <i>
      <x v="289"/>
    </i>
    <i>
      <x v="290"/>
    </i>
    <i>
      <x v="296"/>
    </i>
    <i>
      <x v="297"/>
    </i>
    <i>
      <x v="305"/>
    </i>
    <i>
      <x v="307"/>
    </i>
    <i>
      <x v="314"/>
    </i>
    <i>
      <x v="315"/>
    </i>
    <i>
      <x v="324"/>
    </i>
    <i>
      <x v="329"/>
    </i>
    <i>
      <x v="330"/>
    </i>
    <i>
      <x v="335"/>
    </i>
    <i>
      <x v="336"/>
    </i>
    <i t="grand">
      <x/>
    </i>
  </rowItems>
  <colFields count="1">
    <field x="-2"/>
  </colFields>
  <colItems count="2">
    <i>
      <x/>
    </i>
    <i i="1">
      <x v="1"/>
    </i>
  </colItems>
  <pageFields count="3">
    <pageField fld="30" hier="-1"/>
    <pageField fld="22" hier="-1"/>
    <pageField fld="20" hier="-1"/>
  </pageFields>
  <dataFields count="2">
    <dataField name="Headcount" fld="2" subtotal="count" baseField="0" baseItem="0"/>
    <dataField name="Sum of 1:1s Participated with Manager Final" fld="28" baseField="0" baseItem="0"/>
  </dataFields>
  <formats count="26">
    <format dxfId="51">
      <pivotArea type="all" dataOnly="0" outline="0" fieldPosition="0"/>
    </format>
    <format dxfId="50">
      <pivotArea outline="0" collapsedLevelsAreSubtotals="1" fieldPosition="0"/>
    </format>
    <format dxfId="49">
      <pivotArea field="17" type="button" dataOnly="0" labelOnly="1" outline="0" axis="axisRow" fieldPosition="0"/>
    </format>
    <format dxfId="48">
      <pivotArea dataOnly="0" labelOnly="1" fieldPosition="0">
        <references count="1">
          <reference field="17"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47">
      <pivotArea dataOnly="0" labelOnly="1" fieldPosition="0">
        <references count="1">
          <reference field="17"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46">
      <pivotArea dataOnly="0" labelOnly="1" fieldPosition="0">
        <references count="1">
          <reference field="17"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45">
      <pivotArea dataOnly="0" labelOnly="1" fieldPosition="0">
        <references count="1">
          <reference field="17"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44">
      <pivotArea dataOnly="0" labelOnly="1" fieldPosition="0">
        <references count="1">
          <reference field="17"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43">
      <pivotArea dataOnly="0" labelOnly="1" fieldPosition="0">
        <references count="1">
          <reference field="17"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42">
      <pivotArea dataOnly="0" labelOnly="1" fieldPosition="0">
        <references count="1">
          <reference field="17"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41">
      <pivotArea dataOnly="0" labelOnly="1" fieldPosition="0">
        <references count="1">
          <reference field="17" count="2">
            <x v="350"/>
            <x v="351"/>
          </reference>
        </references>
      </pivotArea>
    </format>
    <format dxfId="40">
      <pivotArea dataOnly="0" labelOnly="1" grandRow="1" outline="0" fieldPosition="0"/>
    </format>
    <format dxfId="39">
      <pivotArea dataOnly="0" labelOnly="1" outline="0" fieldPosition="0">
        <references count="1">
          <reference field="4294967294" count="2">
            <x v="0"/>
            <x v="1"/>
          </reference>
        </references>
      </pivotArea>
    </format>
    <format dxfId="38">
      <pivotArea type="all" dataOnly="0" outline="0" fieldPosition="0"/>
    </format>
    <format dxfId="37">
      <pivotArea outline="0" collapsedLevelsAreSubtotals="1" fieldPosition="0"/>
    </format>
    <format dxfId="36">
      <pivotArea field="17" type="button" dataOnly="0" labelOnly="1" outline="0" axis="axisRow" fieldPosition="0"/>
    </format>
    <format dxfId="35">
      <pivotArea dataOnly="0" labelOnly="1" fieldPosition="0">
        <references count="1">
          <reference field="17"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4">
      <pivotArea dataOnly="0" labelOnly="1" fieldPosition="0">
        <references count="1">
          <reference field="17"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33">
      <pivotArea dataOnly="0" labelOnly="1" fieldPosition="0">
        <references count="1">
          <reference field="17"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32">
      <pivotArea dataOnly="0" labelOnly="1" fieldPosition="0">
        <references count="1">
          <reference field="17"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31">
      <pivotArea dataOnly="0" labelOnly="1" fieldPosition="0">
        <references count="1">
          <reference field="17"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30">
      <pivotArea dataOnly="0" labelOnly="1" fieldPosition="0">
        <references count="1">
          <reference field="17"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29">
      <pivotArea dataOnly="0" labelOnly="1" fieldPosition="0">
        <references count="1">
          <reference field="17"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28">
      <pivotArea dataOnly="0" labelOnly="1" fieldPosition="0">
        <references count="1">
          <reference field="17" count="2">
            <x v="350"/>
            <x v="351"/>
          </reference>
        </references>
      </pivotArea>
    </format>
    <format dxfId="27">
      <pivotArea dataOnly="0" labelOnly="1" grandRow="1" outline="0" fieldPosition="0"/>
    </format>
    <format dxfId="26">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DF753-CF48-4D47-AF5F-EE6FBA15E819}">
  <sheetPr>
    <tabColor theme="3" tint="0.499984740745262"/>
  </sheetPr>
  <dimension ref="A1:B9"/>
  <sheetViews>
    <sheetView tabSelected="1" workbookViewId="0">
      <selection activeCell="A31" sqref="A31"/>
    </sheetView>
  </sheetViews>
  <sheetFormatPr defaultRowHeight="14.5" x14ac:dyDescent="0.35"/>
  <cols>
    <col min="1" max="1" width="46.81640625" bestFit="1" customWidth="1"/>
    <col min="2" max="2" width="178.54296875" bestFit="1" customWidth="1"/>
  </cols>
  <sheetData>
    <row r="1" spans="1:2" x14ac:dyDescent="0.35">
      <c r="A1" s="9" t="s">
        <v>0</v>
      </c>
      <c r="B1" s="9"/>
    </row>
    <row r="2" spans="1:2" x14ac:dyDescent="0.35">
      <c r="A2" s="7" t="s">
        <v>1</v>
      </c>
      <c r="B2" s="5" t="s">
        <v>2</v>
      </c>
    </row>
    <row r="3" spans="1:2" x14ac:dyDescent="0.35">
      <c r="A3" s="7" t="s">
        <v>3</v>
      </c>
      <c r="B3" s="5" t="s">
        <v>4</v>
      </c>
    </row>
    <row r="4" spans="1:2" x14ac:dyDescent="0.35">
      <c r="A4" s="7" t="s">
        <v>5</v>
      </c>
      <c r="B4" s="5" t="s">
        <v>6</v>
      </c>
    </row>
    <row r="5" spans="1:2" x14ac:dyDescent="0.35">
      <c r="A5" s="7" t="s">
        <v>7</v>
      </c>
      <c r="B5" s="5" t="s">
        <v>8</v>
      </c>
    </row>
    <row r="6" spans="1:2" x14ac:dyDescent="0.35">
      <c r="A6" s="7" t="s">
        <v>9</v>
      </c>
      <c r="B6" s="5" t="s">
        <v>10</v>
      </c>
    </row>
    <row r="7" spans="1:2" x14ac:dyDescent="0.35">
      <c r="A7" s="7" t="s">
        <v>11</v>
      </c>
      <c r="B7" s="5" t="s">
        <v>12</v>
      </c>
    </row>
    <row r="8" spans="1:2" x14ac:dyDescent="0.35">
      <c r="A8" s="7" t="s">
        <v>13</v>
      </c>
      <c r="B8" s="5" t="s">
        <v>14</v>
      </c>
    </row>
    <row r="9" spans="1:2" x14ac:dyDescent="0.35">
      <c r="A9" s="7" t="s">
        <v>15</v>
      </c>
      <c r="B9" s="5" t="s">
        <v>16</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0705D-55E2-45ED-93A6-C65F3D2E7157}">
  <sheetPr>
    <tabColor theme="5" tint="0.39997558519241921"/>
  </sheetPr>
  <dimension ref="A1:E358"/>
  <sheetViews>
    <sheetView workbookViewId="0">
      <selection activeCell="C17" sqref="C17"/>
    </sheetView>
  </sheetViews>
  <sheetFormatPr defaultRowHeight="14.5" x14ac:dyDescent="0.35"/>
  <cols>
    <col min="1" max="1" width="36.1796875" bestFit="1" customWidth="1"/>
    <col min="2" max="2" width="10" bestFit="1" customWidth="1"/>
    <col min="3" max="3" width="37.7265625" bestFit="1" customWidth="1"/>
    <col min="4" max="4" width="26.1796875" bestFit="1" customWidth="1"/>
    <col min="5" max="5" width="11.453125" bestFit="1" customWidth="1"/>
  </cols>
  <sheetData>
    <row r="1" spans="1:5" x14ac:dyDescent="0.35">
      <c r="A1" s="6" t="s">
        <v>17</v>
      </c>
      <c r="B1" s="8" t="s">
        <v>18</v>
      </c>
    </row>
    <row r="2" spans="1:5" x14ac:dyDescent="0.35">
      <c r="A2" s="6" t="s">
        <v>19</v>
      </c>
      <c r="B2" s="8" t="s">
        <v>18</v>
      </c>
    </row>
    <row r="3" spans="1:5" x14ac:dyDescent="0.35">
      <c r="A3" s="6" t="s">
        <v>20</v>
      </c>
      <c r="B3" s="8" t="s">
        <v>18</v>
      </c>
    </row>
    <row r="5" spans="1:5" x14ac:dyDescent="0.35">
      <c r="A5" s="6" t="s">
        <v>21</v>
      </c>
      <c r="B5" s="3" t="s">
        <v>22</v>
      </c>
      <c r="C5" s="8" t="s">
        <v>23</v>
      </c>
      <c r="D5" s="2" t="s">
        <v>24</v>
      </c>
      <c r="E5" s="2" t="s">
        <v>25</v>
      </c>
    </row>
    <row r="6" spans="1:5" x14ac:dyDescent="0.35">
      <c r="A6" s="3" t="s">
        <v>26</v>
      </c>
      <c r="B6" s="10">
        <v>4</v>
      </c>
      <c r="C6" s="11">
        <v>0</v>
      </c>
      <c r="D6" s="3">
        <f t="shared" ref="D6" si="0">B6-C6</f>
        <v>4</v>
      </c>
      <c r="E6" s="4">
        <f t="shared" ref="E6" si="1">C6/B6*100</f>
        <v>0</v>
      </c>
    </row>
    <row r="7" spans="1:5" x14ac:dyDescent="0.35">
      <c r="A7" s="3" t="s">
        <v>27</v>
      </c>
      <c r="B7" s="10">
        <v>2</v>
      </c>
      <c r="C7" s="11">
        <v>0</v>
      </c>
      <c r="D7" s="3">
        <f t="shared" ref="D7:D70" si="2">B7-C7</f>
        <v>2</v>
      </c>
      <c r="E7" s="4">
        <f t="shared" ref="E7:E70" si="3">C7/B7*100</f>
        <v>0</v>
      </c>
    </row>
    <row r="8" spans="1:5" x14ac:dyDescent="0.35">
      <c r="A8" s="3" t="s">
        <v>28</v>
      </c>
      <c r="B8" s="10">
        <v>8</v>
      </c>
      <c r="C8" s="11">
        <v>4</v>
      </c>
      <c r="D8" s="3">
        <f t="shared" si="2"/>
        <v>4</v>
      </c>
      <c r="E8" s="4">
        <f t="shared" si="3"/>
        <v>50</v>
      </c>
    </row>
    <row r="9" spans="1:5" x14ac:dyDescent="0.35">
      <c r="A9" s="3" t="s">
        <v>29</v>
      </c>
      <c r="B9" s="10">
        <v>2</v>
      </c>
      <c r="C9" s="11">
        <v>2</v>
      </c>
      <c r="D9" s="3">
        <f t="shared" si="2"/>
        <v>0</v>
      </c>
      <c r="E9" s="4">
        <f t="shared" si="3"/>
        <v>100</v>
      </c>
    </row>
    <row r="10" spans="1:5" x14ac:dyDescent="0.35">
      <c r="A10" s="3" t="s">
        <v>30</v>
      </c>
      <c r="B10" s="10">
        <v>3</v>
      </c>
      <c r="C10" s="11">
        <v>0</v>
      </c>
      <c r="D10" s="3">
        <f t="shared" si="2"/>
        <v>3</v>
      </c>
      <c r="E10" s="4">
        <f t="shared" si="3"/>
        <v>0</v>
      </c>
    </row>
    <row r="11" spans="1:5" x14ac:dyDescent="0.35">
      <c r="A11" s="3" t="s">
        <v>31</v>
      </c>
      <c r="B11" s="10">
        <v>3</v>
      </c>
      <c r="C11" s="11">
        <v>0</v>
      </c>
      <c r="D11" s="3">
        <f t="shared" si="2"/>
        <v>3</v>
      </c>
      <c r="E11" s="4">
        <f t="shared" si="3"/>
        <v>0</v>
      </c>
    </row>
    <row r="12" spans="1:5" x14ac:dyDescent="0.35">
      <c r="A12" s="3" t="s">
        <v>32</v>
      </c>
      <c r="B12" s="10">
        <v>3</v>
      </c>
      <c r="C12" s="11">
        <v>0</v>
      </c>
      <c r="D12" s="3">
        <f t="shared" si="2"/>
        <v>3</v>
      </c>
      <c r="E12" s="4">
        <f t="shared" si="3"/>
        <v>0</v>
      </c>
    </row>
    <row r="13" spans="1:5" x14ac:dyDescent="0.35">
      <c r="A13" s="3" t="s">
        <v>33</v>
      </c>
      <c r="B13" s="10">
        <v>1</v>
      </c>
      <c r="C13" s="11">
        <v>1</v>
      </c>
      <c r="D13" s="3">
        <f t="shared" si="2"/>
        <v>0</v>
      </c>
      <c r="E13" s="4">
        <f t="shared" si="3"/>
        <v>100</v>
      </c>
    </row>
    <row r="14" spans="1:5" x14ac:dyDescent="0.35">
      <c r="A14" s="3" t="s">
        <v>34</v>
      </c>
      <c r="B14" s="10">
        <v>5</v>
      </c>
      <c r="C14" s="11">
        <v>0</v>
      </c>
      <c r="D14" s="3">
        <f t="shared" si="2"/>
        <v>5</v>
      </c>
      <c r="E14" s="4">
        <f t="shared" si="3"/>
        <v>0</v>
      </c>
    </row>
    <row r="15" spans="1:5" x14ac:dyDescent="0.35">
      <c r="A15" s="3" t="s">
        <v>35</v>
      </c>
      <c r="B15" s="10">
        <v>2</v>
      </c>
      <c r="C15" s="11">
        <v>0</v>
      </c>
      <c r="D15" s="3">
        <f t="shared" si="2"/>
        <v>2</v>
      </c>
      <c r="E15" s="4">
        <f t="shared" si="3"/>
        <v>0</v>
      </c>
    </row>
    <row r="16" spans="1:5" x14ac:dyDescent="0.35">
      <c r="A16" s="3" t="s">
        <v>36</v>
      </c>
      <c r="B16" s="10">
        <v>3</v>
      </c>
      <c r="C16" s="11">
        <v>0</v>
      </c>
      <c r="D16" s="3">
        <f t="shared" si="2"/>
        <v>3</v>
      </c>
      <c r="E16" s="4">
        <f t="shared" si="3"/>
        <v>0</v>
      </c>
    </row>
    <row r="17" spans="1:5" x14ac:dyDescent="0.35">
      <c r="A17" s="3" t="s">
        <v>37</v>
      </c>
      <c r="B17" s="10">
        <v>5</v>
      </c>
      <c r="C17" s="11">
        <v>5</v>
      </c>
      <c r="D17" s="3">
        <f t="shared" si="2"/>
        <v>0</v>
      </c>
      <c r="E17" s="4">
        <f t="shared" si="3"/>
        <v>100</v>
      </c>
    </row>
    <row r="18" spans="1:5" x14ac:dyDescent="0.35">
      <c r="A18" s="3" t="s">
        <v>38</v>
      </c>
      <c r="B18" s="10">
        <v>3</v>
      </c>
      <c r="C18" s="11">
        <v>1</v>
      </c>
      <c r="D18" s="3">
        <f t="shared" si="2"/>
        <v>2</v>
      </c>
      <c r="E18" s="4">
        <f t="shared" si="3"/>
        <v>33.333333333333329</v>
      </c>
    </row>
    <row r="19" spans="1:5" x14ac:dyDescent="0.35">
      <c r="A19" s="3" t="s">
        <v>39</v>
      </c>
      <c r="B19" s="10">
        <v>7</v>
      </c>
      <c r="C19" s="11">
        <v>0</v>
      </c>
      <c r="D19" s="3">
        <f t="shared" si="2"/>
        <v>7</v>
      </c>
      <c r="E19" s="4">
        <f t="shared" si="3"/>
        <v>0</v>
      </c>
    </row>
    <row r="20" spans="1:5" x14ac:dyDescent="0.35">
      <c r="A20" s="3" t="s">
        <v>40</v>
      </c>
      <c r="B20" s="10">
        <v>2</v>
      </c>
      <c r="C20" s="11">
        <v>0</v>
      </c>
      <c r="D20" s="3">
        <f t="shared" si="2"/>
        <v>2</v>
      </c>
      <c r="E20" s="4">
        <f t="shared" si="3"/>
        <v>0</v>
      </c>
    </row>
    <row r="21" spans="1:5" x14ac:dyDescent="0.35">
      <c r="A21" s="3" t="s">
        <v>41</v>
      </c>
      <c r="B21" s="10">
        <v>6</v>
      </c>
      <c r="C21" s="11">
        <v>0</v>
      </c>
      <c r="D21" s="3">
        <f t="shared" si="2"/>
        <v>6</v>
      </c>
      <c r="E21" s="4">
        <f t="shared" si="3"/>
        <v>0</v>
      </c>
    </row>
    <row r="22" spans="1:5" x14ac:dyDescent="0.35">
      <c r="A22" s="3" t="s">
        <v>42</v>
      </c>
      <c r="B22" s="10">
        <v>3</v>
      </c>
      <c r="C22" s="11">
        <v>1</v>
      </c>
      <c r="D22" s="3">
        <f t="shared" si="2"/>
        <v>2</v>
      </c>
      <c r="E22" s="4">
        <f t="shared" si="3"/>
        <v>33.333333333333329</v>
      </c>
    </row>
    <row r="23" spans="1:5" x14ac:dyDescent="0.35">
      <c r="A23" s="3" t="s">
        <v>43</v>
      </c>
      <c r="B23" s="10">
        <v>4</v>
      </c>
      <c r="C23" s="11">
        <v>4</v>
      </c>
      <c r="D23" s="3">
        <f t="shared" si="2"/>
        <v>0</v>
      </c>
      <c r="E23" s="4">
        <f t="shared" si="3"/>
        <v>100</v>
      </c>
    </row>
    <row r="24" spans="1:5" x14ac:dyDescent="0.35">
      <c r="A24" s="3" t="s">
        <v>44</v>
      </c>
      <c r="B24" s="10">
        <v>2</v>
      </c>
      <c r="C24" s="11">
        <v>0</v>
      </c>
      <c r="D24" s="3">
        <f t="shared" si="2"/>
        <v>2</v>
      </c>
      <c r="E24" s="4">
        <f t="shared" si="3"/>
        <v>0</v>
      </c>
    </row>
    <row r="25" spans="1:5" x14ac:dyDescent="0.35">
      <c r="A25" s="3" t="s">
        <v>45</v>
      </c>
      <c r="B25" s="10">
        <v>4</v>
      </c>
      <c r="C25" s="11">
        <v>4</v>
      </c>
      <c r="D25" s="3">
        <f t="shared" si="2"/>
        <v>0</v>
      </c>
      <c r="E25" s="4">
        <f t="shared" si="3"/>
        <v>100</v>
      </c>
    </row>
    <row r="26" spans="1:5" x14ac:dyDescent="0.35">
      <c r="A26" s="3" t="s">
        <v>46</v>
      </c>
      <c r="B26" s="10">
        <v>1</v>
      </c>
      <c r="C26" s="11">
        <v>0</v>
      </c>
      <c r="D26" s="3">
        <f t="shared" si="2"/>
        <v>1</v>
      </c>
      <c r="E26" s="4">
        <f t="shared" si="3"/>
        <v>0</v>
      </c>
    </row>
    <row r="27" spans="1:5" x14ac:dyDescent="0.35">
      <c r="A27" s="3" t="s">
        <v>47</v>
      </c>
      <c r="B27" s="10">
        <v>4</v>
      </c>
      <c r="C27" s="11">
        <v>0</v>
      </c>
      <c r="D27" s="3">
        <f t="shared" si="2"/>
        <v>4</v>
      </c>
      <c r="E27" s="4">
        <f t="shared" si="3"/>
        <v>0</v>
      </c>
    </row>
    <row r="28" spans="1:5" x14ac:dyDescent="0.35">
      <c r="A28" s="3" t="s">
        <v>48</v>
      </c>
      <c r="B28" s="10">
        <v>2</v>
      </c>
      <c r="C28" s="11">
        <v>1</v>
      </c>
      <c r="D28" s="3">
        <f t="shared" si="2"/>
        <v>1</v>
      </c>
      <c r="E28" s="4">
        <f t="shared" si="3"/>
        <v>50</v>
      </c>
    </row>
    <row r="29" spans="1:5" x14ac:dyDescent="0.35">
      <c r="A29" s="3" t="s">
        <v>49</v>
      </c>
      <c r="B29" s="10">
        <v>7</v>
      </c>
      <c r="C29" s="11">
        <v>7</v>
      </c>
      <c r="D29" s="3">
        <f t="shared" si="2"/>
        <v>0</v>
      </c>
      <c r="E29" s="4">
        <f t="shared" si="3"/>
        <v>100</v>
      </c>
    </row>
    <row r="30" spans="1:5" x14ac:dyDescent="0.35">
      <c r="A30" s="3" t="s">
        <v>50</v>
      </c>
      <c r="B30" s="10">
        <v>4</v>
      </c>
      <c r="C30" s="11">
        <v>1</v>
      </c>
      <c r="D30" s="3">
        <f t="shared" si="2"/>
        <v>3</v>
      </c>
      <c r="E30" s="4">
        <f t="shared" si="3"/>
        <v>25</v>
      </c>
    </row>
    <row r="31" spans="1:5" x14ac:dyDescent="0.35">
      <c r="A31" s="3" t="s">
        <v>51</v>
      </c>
      <c r="B31" s="10">
        <v>2</v>
      </c>
      <c r="C31" s="11">
        <v>2</v>
      </c>
      <c r="D31" s="3">
        <f t="shared" si="2"/>
        <v>0</v>
      </c>
      <c r="E31" s="4">
        <f t="shared" si="3"/>
        <v>100</v>
      </c>
    </row>
    <row r="32" spans="1:5" x14ac:dyDescent="0.35">
      <c r="A32" s="3" t="s">
        <v>52</v>
      </c>
      <c r="B32" s="10">
        <v>5</v>
      </c>
      <c r="C32" s="11">
        <v>4</v>
      </c>
      <c r="D32" s="3">
        <f t="shared" si="2"/>
        <v>1</v>
      </c>
      <c r="E32" s="4">
        <f t="shared" si="3"/>
        <v>80</v>
      </c>
    </row>
    <row r="33" spans="1:5" x14ac:dyDescent="0.35">
      <c r="A33" s="3" t="s">
        <v>53</v>
      </c>
      <c r="B33" s="10">
        <v>2</v>
      </c>
      <c r="C33" s="11">
        <v>0</v>
      </c>
      <c r="D33" s="3">
        <f t="shared" si="2"/>
        <v>2</v>
      </c>
      <c r="E33" s="4">
        <f t="shared" si="3"/>
        <v>0</v>
      </c>
    </row>
    <row r="34" spans="1:5" x14ac:dyDescent="0.35">
      <c r="A34" s="3" t="s">
        <v>54</v>
      </c>
      <c r="B34" s="10">
        <v>1</v>
      </c>
      <c r="C34" s="11">
        <v>1</v>
      </c>
      <c r="D34" s="3">
        <f t="shared" si="2"/>
        <v>0</v>
      </c>
      <c r="E34" s="4">
        <f t="shared" si="3"/>
        <v>100</v>
      </c>
    </row>
    <row r="35" spans="1:5" x14ac:dyDescent="0.35">
      <c r="A35" s="3" t="s">
        <v>55</v>
      </c>
      <c r="B35" s="10">
        <v>3</v>
      </c>
      <c r="C35" s="11">
        <v>0</v>
      </c>
      <c r="D35" s="3">
        <f t="shared" si="2"/>
        <v>3</v>
      </c>
      <c r="E35" s="4">
        <f t="shared" si="3"/>
        <v>0</v>
      </c>
    </row>
    <row r="36" spans="1:5" x14ac:dyDescent="0.35">
      <c r="A36" s="3" t="s">
        <v>56</v>
      </c>
      <c r="B36" s="10">
        <v>3</v>
      </c>
      <c r="C36" s="11">
        <v>0</v>
      </c>
      <c r="D36" s="3">
        <f t="shared" si="2"/>
        <v>3</v>
      </c>
      <c r="E36" s="4">
        <f t="shared" si="3"/>
        <v>0</v>
      </c>
    </row>
    <row r="37" spans="1:5" x14ac:dyDescent="0.35">
      <c r="A37" s="3" t="s">
        <v>57</v>
      </c>
      <c r="B37" s="10">
        <v>8</v>
      </c>
      <c r="C37" s="11">
        <v>0</v>
      </c>
      <c r="D37" s="3">
        <f t="shared" si="2"/>
        <v>8</v>
      </c>
      <c r="E37" s="4">
        <f t="shared" si="3"/>
        <v>0</v>
      </c>
    </row>
    <row r="38" spans="1:5" x14ac:dyDescent="0.35">
      <c r="A38" s="3" t="s">
        <v>58</v>
      </c>
      <c r="B38" s="10">
        <v>2</v>
      </c>
      <c r="C38" s="11">
        <v>2</v>
      </c>
      <c r="D38" s="3">
        <f t="shared" si="2"/>
        <v>0</v>
      </c>
      <c r="E38" s="4">
        <f t="shared" si="3"/>
        <v>100</v>
      </c>
    </row>
    <row r="39" spans="1:5" x14ac:dyDescent="0.35">
      <c r="A39" s="3" t="s">
        <v>59</v>
      </c>
      <c r="B39" s="10">
        <v>10</v>
      </c>
      <c r="C39" s="11">
        <v>0</v>
      </c>
      <c r="D39" s="3">
        <f t="shared" si="2"/>
        <v>10</v>
      </c>
      <c r="E39" s="4">
        <f t="shared" si="3"/>
        <v>0</v>
      </c>
    </row>
    <row r="40" spans="1:5" x14ac:dyDescent="0.35">
      <c r="A40" s="3" t="s">
        <v>60</v>
      </c>
      <c r="B40" s="10">
        <v>3</v>
      </c>
      <c r="C40" s="11">
        <v>3</v>
      </c>
      <c r="D40" s="3">
        <f t="shared" si="2"/>
        <v>0</v>
      </c>
      <c r="E40" s="4">
        <f t="shared" si="3"/>
        <v>100</v>
      </c>
    </row>
    <row r="41" spans="1:5" x14ac:dyDescent="0.35">
      <c r="A41" s="3" t="s">
        <v>61</v>
      </c>
      <c r="B41" s="10">
        <v>6</v>
      </c>
      <c r="C41" s="11">
        <v>0</v>
      </c>
      <c r="D41" s="3">
        <f t="shared" si="2"/>
        <v>6</v>
      </c>
      <c r="E41" s="4">
        <f t="shared" si="3"/>
        <v>0</v>
      </c>
    </row>
    <row r="42" spans="1:5" x14ac:dyDescent="0.35">
      <c r="A42" s="3" t="s">
        <v>62</v>
      </c>
      <c r="B42" s="10">
        <v>4</v>
      </c>
      <c r="C42" s="11">
        <v>0</v>
      </c>
      <c r="D42" s="3">
        <f t="shared" si="2"/>
        <v>4</v>
      </c>
      <c r="E42" s="4">
        <f t="shared" si="3"/>
        <v>0</v>
      </c>
    </row>
    <row r="43" spans="1:5" x14ac:dyDescent="0.35">
      <c r="A43" s="3" t="s">
        <v>63</v>
      </c>
      <c r="B43" s="10">
        <v>4</v>
      </c>
      <c r="C43" s="11">
        <v>4</v>
      </c>
      <c r="D43" s="3">
        <f t="shared" si="2"/>
        <v>0</v>
      </c>
      <c r="E43" s="4">
        <f t="shared" si="3"/>
        <v>100</v>
      </c>
    </row>
    <row r="44" spans="1:5" x14ac:dyDescent="0.35">
      <c r="A44" s="3" t="s">
        <v>64</v>
      </c>
      <c r="B44" s="10">
        <v>5</v>
      </c>
      <c r="C44" s="11">
        <v>0</v>
      </c>
      <c r="D44" s="3">
        <f t="shared" si="2"/>
        <v>5</v>
      </c>
      <c r="E44" s="4">
        <f t="shared" si="3"/>
        <v>0</v>
      </c>
    </row>
    <row r="45" spans="1:5" x14ac:dyDescent="0.35">
      <c r="A45" s="3" t="s">
        <v>65</v>
      </c>
      <c r="B45" s="10">
        <v>2</v>
      </c>
      <c r="C45" s="11">
        <v>1</v>
      </c>
      <c r="D45" s="3">
        <f t="shared" si="2"/>
        <v>1</v>
      </c>
      <c r="E45" s="4">
        <f t="shared" si="3"/>
        <v>50</v>
      </c>
    </row>
    <row r="46" spans="1:5" x14ac:dyDescent="0.35">
      <c r="A46" s="3" t="s">
        <v>66</v>
      </c>
      <c r="B46" s="10">
        <v>3</v>
      </c>
      <c r="C46" s="11">
        <v>0</v>
      </c>
      <c r="D46" s="3">
        <f t="shared" si="2"/>
        <v>3</v>
      </c>
      <c r="E46" s="4">
        <f t="shared" si="3"/>
        <v>0</v>
      </c>
    </row>
    <row r="47" spans="1:5" x14ac:dyDescent="0.35">
      <c r="A47" s="3" t="s">
        <v>67</v>
      </c>
      <c r="B47" s="10">
        <v>7</v>
      </c>
      <c r="C47" s="11">
        <v>0</v>
      </c>
      <c r="D47" s="3">
        <f t="shared" si="2"/>
        <v>7</v>
      </c>
      <c r="E47" s="4">
        <f t="shared" si="3"/>
        <v>0</v>
      </c>
    </row>
    <row r="48" spans="1:5" x14ac:dyDescent="0.35">
      <c r="A48" s="3" t="s">
        <v>68</v>
      </c>
      <c r="B48" s="10">
        <v>7</v>
      </c>
      <c r="C48" s="11">
        <v>0</v>
      </c>
      <c r="D48" s="3">
        <f t="shared" si="2"/>
        <v>7</v>
      </c>
      <c r="E48" s="4">
        <f t="shared" si="3"/>
        <v>0</v>
      </c>
    </row>
    <row r="49" spans="1:5" x14ac:dyDescent="0.35">
      <c r="A49" s="3" t="s">
        <v>69</v>
      </c>
      <c r="B49" s="10">
        <v>4</v>
      </c>
      <c r="C49" s="11">
        <v>0</v>
      </c>
      <c r="D49" s="3">
        <f t="shared" si="2"/>
        <v>4</v>
      </c>
      <c r="E49" s="4">
        <f t="shared" si="3"/>
        <v>0</v>
      </c>
    </row>
    <row r="50" spans="1:5" x14ac:dyDescent="0.35">
      <c r="A50" s="3" t="s">
        <v>70</v>
      </c>
      <c r="B50" s="10">
        <v>3</v>
      </c>
      <c r="C50" s="11">
        <v>1</v>
      </c>
      <c r="D50" s="3">
        <f t="shared" si="2"/>
        <v>2</v>
      </c>
      <c r="E50" s="4">
        <f t="shared" si="3"/>
        <v>33.333333333333329</v>
      </c>
    </row>
    <row r="51" spans="1:5" x14ac:dyDescent="0.35">
      <c r="A51" s="3" t="s">
        <v>71</v>
      </c>
      <c r="B51" s="10">
        <v>174</v>
      </c>
      <c r="C51" s="11">
        <v>49</v>
      </c>
      <c r="D51" s="3">
        <f t="shared" si="2"/>
        <v>125</v>
      </c>
      <c r="E51" s="4">
        <f t="shared" si="3"/>
        <v>28.160919540229884</v>
      </c>
    </row>
    <row r="52" spans="1:5" x14ac:dyDescent="0.35">
      <c r="D52" s="3">
        <f t="shared" si="2"/>
        <v>0</v>
      </c>
      <c r="E52" s="4" t="e">
        <f t="shared" si="3"/>
        <v>#DIV/0!</v>
      </c>
    </row>
    <row r="53" spans="1:5" x14ac:dyDescent="0.35">
      <c r="D53" s="3">
        <f t="shared" si="2"/>
        <v>0</v>
      </c>
      <c r="E53" s="4" t="e">
        <f t="shared" si="3"/>
        <v>#DIV/0!</v>
      </c>
    </row>
    <row r="54" spans="1:5" x14ac:dyDescent="0.35">
      <c r="D54" s="3">
        <f t="shared" si="2"/>
        <v>0</v>
      </c>
      <c r="E54" s="4" t="e">
        <f t="shared" si="3"/>
        <v>#DIV/0!</v>
      </c>
    </row>
    <row r="55" spans="1:5" x14ac:dyDescent="0.35">
      <c r="D55" s="3">
        <f t="shared" si="2"/>
        <v>0</v>
      </c>
      <c r="E55" s="4" t="e">
        <f t="shared" si="3"/>
        <v>#DIV/0!</v>
      </c>
    </row>
    <row r="56" spans="1:5" x14ac:dyDescent="0.35">
      <c r="D56" s="3">
        <f t="shared" si="2"/>
        <v>0</v>
      </c>
      <c r="E56" s="4" t="e">
        <f t="shared" si="3"/>
        <v>#DIV/0!</v>
      </c>
    </row>
    <row r="57" spans="1:5" x14ac:dyDescent="0.35">
      <c r="D57" s="3">
        <f t="shared" si="2"/>
        <v>0</v>
      </c>
      <c r="E57" s="4" t="e">
        <f t="shared" si="3"/>
        <v>#DIV/0!</v>
      </c>
    </row>
    <row r="58" spans="1:5" x14ac:dyDescent="0.35">
      <c r="D58" s="3">
        <f t="shared" si="2"/>
        <v>0</v>
      </c>
      <c r="E58" s="4" t="e">
        <f t="shared" si="3"/>
        <v>#DIV/0!</v>
      </c>
    </row>
    <row r="59" spans="1:5" x14ac:dyDescent="0.35">
      <c r="D59" s="3">
        <f t="shared" si="2"/>
        <v>0</v>
      </c>
      <c r="E59" s="4" t="e">
        <f t="shared" si="3"/>
        <v>#DIV/0!</v>
      </c>
    </row>
    <row r="60" spans="1:5" x14ac:dyDescent="0.35">
      <c r="D60" s="3">
        <f t="shared" si="2"/>
        <v>0</v>
      </c>
      <c r="E60" s="4" t="e">
        <f t="shared" si="3"/>
        <v>#DIV/0!</v>
      </c>
    </row>
    <row r="61" spans="1:5" x14ac:dyDescent="0.35">
      <c r="D61" s="3">
        <f t="shared" si="2"/>
        <v>0</v>
      </c>
      <c r="E61" s="4" t="e">
        <f t="shared" si="3"/>
        <v>#DIV/0!</v>
      </c>
    </row>
    <row r="62" spans="1:5" x14ac:dyDescent="0.35">
      <c r="D62" s="3">
        <f t="shared" si="2"/>
        <v>0</v>
      </c>
      <c r="E62" s="4" t="e">
        <f t="shared" si="3"/>
        <v>#DIV/0!</v>
      </c>
    </row>
    <row r="63" spans="1:5" x14ac:dyDescent="0.35">
      <c r="D63" s="3">
        <f t="shared" si="2"/>
        <v>0</v>
      </c>
      <c r="E63" s="4" t="e">
        <f t="shared" si="3"/>
        <v>#DIV/0!</v>
      </c>
    </row>
    <row r="64" spans="1:5" x14ac:dyDescent="0.35">
      <c r="D64" s="3">
        <f t="shared" si="2"/>
        <v>0</v>
      </c>
      <c r="E64" s="4" t="e">
        <f t="shared" si="3"/>
        <v>#DIV/0!</v>
      </c>
    </row>
    <row r="65" spans="4:5" x14ac:dyDescent="0.35">
      <c r="D65" s="3">
        <f t="shared" si="2"/>
        <v>0</v>
      </c>
      <c r="E65" s="4" t="e">
        <f t="shared" si="3"/>
        <v>#DIV/0!</v>
      </c>
    </row>
    <row r="66" spans="4:5" x14ac:dyDescent="0.35">
      <c r="D66" s="3">
        <f t="shared" si="2"/>
        <v>0</v>
      </c>
      <c r="E66" s="4" t="e">
        <f t="shared" si="3"/>
        <v>#DIV/0!</v>
      </c>
    </row>
    <row r="67" spans="4:5" x14ac:dyDescent="0.35">
      <c r="D67" s="3">
        <f t="shared" si="2"/>
        <v>0</v>
      </c>
      <c r="E67" s="4" t="e">
        <f t="shared" si="3"/>
        <v>#DIV/0!</v>
      </c>
    </row>
    <row r="68" spans="4:5" x14ac:dyDescent="0.35">
      <c r="D68" s="3">
        <f t="shared" si="2"/>
        <v>0</v>
      </c>
      <c r="E68" s="4" t="e">
        <f t="shared" si="3"/>
        <v>#DIV/0!</v>
      </c>
    </row>
    <row r="69" spans="4:5" x14ac:dyDescent="0.35">
      <c r="D69" s="3">
        <f t="shared" si="2"/>
        <v>0</v>
      </c>
      <c r="E69" s="4" t="e">
        <f t="shared" si="3"/>
        <v>#DIV/0!</v>
      </c>
    </row>
    <row r="70" spans="4:5" x14ac:dyDescent="0.35">
      <c r="D70" s="3">
        <f t="shared" si="2"/>
        <v>0</v>
      </c>
      <c r="E70" s="4" t="e">
        <f t="shared" si="3"/>
        <v>#DIV/0!</v>
      </c>
    </row>
    <row r="71" spans="4:5" x14ac:dyDescent="0.35">
      <c r="D71" s="3">
        <f t="shared" ref="D71:D134" si="4">B71-C71</f>
        <v>0</v>
      </c>
      <c r="E71" s="4" t="e">
        <f t="shared" ref="E71:E134" si="5">C71/B71*100</f>
        <v>#DIV/0!</v>
      </c>
    </row>
    <row r="72" spans="4:5" x14ac:dyDescent="0.35">
      <c r="D72" s="3">
        <f t="shared" si="4"/>
        <v>0</v>
      </c>
      <c r="E72" s="4" t="e">
        <f t="shared" si="5"/>
        <v>#DIV/0!</v>
      </c>
    </row>
    <row r="73" spans="4:5" x14ac:dyDescent="0.35">
      <c r="D73" s="3">
        <f t="shared" si="4"/>
        <v>0</v>
      </c>
      <c r="E73" s="4" t="e">
        <f t="shared" si="5"/>
        <v>#DIV/0!</v>
      </c>
    </row>
    <row r="74" spans="4:5" x14ac:dyDescent="0.35">
      <c r="D74" s="3">
        <f t="shared" si="4"/>
        <v>0</v>
      </c>
      <c r="E74" s="4" t="e">
        <f t="shared" si="5"/>
        <v>#DIV/0!</v>
      </c>
    </row>
    <row r="75" spans="4:5" x14ac:dyDescent="0.35">
      <c r="D75" s="3">
        <f t="shared" si="4"/>
        <v>0</v>
      </c>
      <c r="E75" s="4" t="e">
        <f t="shared" si="5"/>
        <v>#DIV/0!</v>
      </c>
    </row>
    <row r="76" spans="4:5" x14ac:dyDescent="0.35">
      <c r="D76" s="3">
        <f t="shared" si="4"/>
        <v>0</v>
      </c>
      <c r="E76" s="4" t="e">
        <f t="shared" si="5"/>
        <v>#DIV/0!</v>
      </c>
    </row>
    <row r="77" spans="4:5" x14ac:dyDescent="0.35">
      <c r="D77" s="3">
        <f t="shared" si="4"/>
        <v>0</v>
      </c>
      <c r="E77" s="4" t="e">
        <f t="shared" si="5"/>
        <v>#DIV/0!</v>
      </c>
    </row>
    <row r="78" spans="4:5" x14ac:dyDescent="0.35">
      <c r="D78" s="3">
        <f t="shared" si="4"/>
        <v>0</v>
      </c>
      <c r="E78" s="4" t="e">
        <f t="shared" si="5"/>
        <v>#DIV/0!</v>
      </c>
    </row>
    <row r="79" spans="4:5" x14ac:dyDescent="0.35">
      <c r="D79" s="3">
        <f t="shared" si="4"/>
        <v>0</v>
      </c>
      <c r="E79" s="4" t="e">
        <f t="shared" si="5"/>
        <v>#DIV/0!</v>
      </c>
    </row>
    <row r="80" spans="4:5" x14ac:dyDescent="0.35">
      <c r="D80" s="3">
        <f t="shared" si="4"/>
        <v>0</v>
      </c>
      <c r="E80" s="4" t="e">
        <f t="shared" si="5"/>
        <v>#DIV/0!</v>
      </c>
    </row>
    <row r="81" spans="4:5" x14ac:dyDescent="0.35">
      <c r="D81" s="3">
        <f t="shared" si="4"/>
        <v>0</v>
      </c>
      <c r="E81" s="4" t="e">
        <f t="shared" si="5"/>
        <v>#DIV/0!</v>
      </c>
    </row>
    <row r="82" spans="4:5" x14ac:dyDescent="0.35">
      <c r="D82" s="3">
        <f t="shared" si="4"/>
        <v>0</v>
      </c>
      <c r="E82" s="4" t="e">
        <f t="shared" si="5"/>
        <v>#DIV/0!</v>
      </c>
    </row>
    <row r="83" spans="4:5" x14ac:dyDescent="0.35">
      <c r="D83" s="3">
        <f t="shared" si="4"/>
        <v>0</v>
      </c>
      <c r="E83" s="4" t="e">
        <f t="shared" si="5"/>
        <v>#DIV/0!</v>
      </c>
    </row>
    <row r="84" spans="4:5" x14ac:dyDescent="0.35">
      <c r="D84" s="3">
        <f t="shared" si="4"/>
        <v>0</v>
      </c>
      <c r="E84" s="4" t="e">
        <f t="shared" si="5"/>
        <v>#DIV/0!</v>
      </c>
    </row>
    <row r="85" spans="4:5" x14ac:dyDescent="0.35">
      <c r="D85" s="3">
        <f t="shared" si="4"/>
        <v>0</v>
      </c>
      <c r="E85" s="4" t="e">
        <f t="shared" si="5"/>
        <v>#DIV/0!</v>
      </c>
    </row>
    <row r="86" spans="4:5" x14ac:dyDescent="0.35">
      <c r="D86" s="3">
        <f t="shared" si="4"/>
        <v>0</v>
      </c>
      <c r="E86" s="4" t="e">
        <f t="shared" si="5"/>
        <v>#DIV/0!</v>
      </c>
    </row>
    <row r="87" spans="4:5" x14ac:dyDescent="0.35">
      <c r="D87" s="3">
        <f t="shared" si="4"/>
        <v>0</v>
      </c>
      <c r="E87" s="4" t="e">
        <f t="shared" si="5"/>
        <v>#DIV/0!</v>
      </c>
    </row>
    <row r="88" spans="4:5" x14ac:dyDescent="0.35">
      <c r="D88" s="3">
        <f t="shared" si="4"/>
        <v>0</v>
      </c>
      <c r="E88" s="4" t="e">
        <f t="shared" si="5"/>
        <v>#DIV/0!</v>
      </c>
    </row>
    <row r="89" spans="4:5" x14ac:dyDescent="0.35">
      <c r="D89" s="3">
        <f t="shared" si="4"/>
        <v>0</v>
      </c>
      <c r="E89" s="4" t="e">
        <f t="shared" si="5"/>
        <v>#DIV/0!</v>
      </c>
    </row>
    <row r="90" spans="4:5" x14ac:dyDescent="0.35">
      <c r="D90" s="3">
        <f t="shared" si="4"/>
        <v>0</v>
      </c>
      <c r="E90" s="4" t="e">
        <f t="shared" si="5"/>
        <v>#DIV/0!</v>
      </c>
    </row>
    <row r="91" spans="4:5" x14ac:dyDescent="0.35">
      <c r="D91" s="3">
        <f t="shared" si="4"/>
        <v>0</v>
      </c>
      <c r="E91" s="4" t="e">
        <f t="shared" si="5"/>
        <v>#DIV/0!</v>
      </c>
    </row>
    <row r="92" spans="4:5" x14ac:dyDescent="0.35">
      <c r="D92" s="3">
        <f t="shared" si="4"/>
        <v>0</v>
      </c>
      <c r="E92" s="4" t="e">
        <f t="shared" si="5"/>
        <v>#DIV/0!</v>
      </c>
    </row>
    <row r="93" spans="4:5" x14ac:dyDescent="0.35">
      <c r="D93" s="3">
        <f t="shared" si="4"/>
        <v>0</v>
      </c>
      <c r="E93" s="4" t="e">
        <f t="shared" si="5"/>
        <v>#DIV/0!</v>
      </c>
    </row>
    <row r="94" spans="4:5" x14ac:dyDescent="0.35">
      <c r="D94" s="3">
        <f t="shared" si="4"/>
        <v>0</v>
      </c>
      <c r="E94" s="4" t="e">
        <f t="shared" si="5"/>
        <v>#DIV/0!</v>
      </c>
    </row>
    <row r="95" spans="4:5" x14ac:dyDescent="0.35">
      <c r="D95" s="3">
        <f t="shared" si="4"/>
        <v>0</v>
      </c>
      <c r="E95" s="4" t="e">
        <f t="shared" si="5"/>
        <v>#DIV/0!</v>
      </c>
    </row>
    <row r="96" spans="4:5" x14ac:dyDescent="0.35">
      <c r="D96" s="3">
        <f t="shared" si="4"/>
        <v>0</v>
      </c>
      <c r="E96" s="4" t="e">
        <f t="shared" si="5"/>
        <v>#DIV/0!</v>
      </c>
    </row>
    <row r="97" spans="4:5" x14ac:dyDescent="0.35">
      <c r="D97" s="3">
        <f t="shared" si="4"/>
        <v>0</v>
      </c>
      <c r="E97" s="4" t="e">
        <f t="shared" si="5"/>
        <v>#DIV/0!</v>
      </c>
    </row>
    <row r="98" spans="4:5" x14ac:dyDescent="0.35">
      <c r="D98" s="3">
        <f t="shared" si="4"/>
        <v>0</v>
      </c>
      <c r="E98" s="4" t="e">
        <f t="shared" si="5"/>
        <v>#DIV/0!</v>
      </c>
    </row>
    <row r="99" spans="4:5" x14ac:dyDescent="0.35">
      <c r="D99" s="3">
        <f t="shared" si="4"/>
        <v>0</v>
      </c>
      <c r="E99" s="4" t="e">
        <f t="shared" si="5"/>
        <v>#DIV/0!</v>
      </c>
    </row>
    <row r="100" spans="4:5" x14ac:dyDescent="0.35">
      <c r="D100" s="3">
        <f t="shared" si="4"/>
        <v>0</v>
      </c>
      <c r="E100" s="4" t="e">
        <f t="shared" si="5"/>
        <v>#DIV/0!</v>
      </c>
    </row>
    <row r="101" spans="4:5" x14ac:dyDescent="0.35">
      <c r="D101" s="3">
        <f t="shared" si="4"/>
        <v>0</v>
      </c>
      <c r="E101" s="4" t="e">
        <f t="shared" si="5"/>
        <v>#DIV/0!</v>
      </c>
    </row>
    <row r="102" spans="4:5" x14ac:dyDescent="0.35">
      <c r="D102" s="3">
        <f t="shared" si="4"/>
        <v>0</v>
      </c>
      <c r="E102" s="4" t="e">
        <f t="shared" si="5"/>
        <v>#DIV/0!</v>
      </c>
    </row>
    <row r="103" spans="4:5" x14ac:dyDescent="0.35">
      <c r="D103" s="3">
        <f t="shared" si="4"/>
        <v>0</v>
      </c>
      <c r="E103" s="4" t="e">
        <f t="shared" si="5"/>
        <v>#DIV/0!</v>
      </c>
    </row>
    <row r="104" spans="4:5" x14ac:dyDescent="0.35">
      <c r="D104" s="3">
        <f t="shared" si="4"/>
        <v>0</v>
      </c>
      <c r="E104" s="4" t="e">
        <f t="shared" si="5"/>
        <v>#DIV/0!</v>
      </c>
    </row>
    <row r="105" spans="4:5" x14ac:dyDescent="0.35">
      <c r="D105" s="3">
        <f t="shared" si="4"/>
        <v>0</v>
      </c>
      <c r="E105" s="4" t="e">
        <f t="shared" si="5"/>
        <v>#DIV/0!</v>
      </c>
    </row>
    <row r="106" spans="4:5" x14ac:dyDescent="0.35">
      <c r="D106" s="3">
        <f t="shared" si="4"/>
        <v>0</v>
      </c>
      <c r="E106" s="4" t="e">
        <f t="shared" si="5"/>
        <v>#DIV/0!</v>
      </c>
    </row>
    <row r="107" spans="4:5" x14ac:dyDescent="0.35">
      <c r="D107" s="3">
        <f t="shared" si="4"/>
        <v>0</v>
      </c>
      <c r="E107" s="4" t="e">
        <f t="shared" si="5"/>
        <v>#DIV/0!</v>
      </c>
    </row>
    <row r="108" spans="4:5" x14ac:dyDescent="0.35">
      <c r="D108" s="3">
        <f t="shared" si="4"/>
        <v>0</v>
      </c>
      <c r="E108" s="4" t="e">
        <f t="shared" si="5"/>
        <v>#DIV/0!</v>
      </c>
    </row>
    <row r="109" spans="4:5" x14ac:dyDescent="0.35">
      <c r="D109" s="3">
        <f t="shared" si="4"/>
        <v>0</v>
      </c>
      <c r="E109" s="4" t="e">
        <f t="shared" si="5"/>
        <v>#DIV/0!</v>
      </c>
    </row>
    <row r="110" spans="4:5" x14ac:dyDescent="0.35">
      <c r="D110" s="3">
        <f t="shared" si="4"/>
        <v>0</v>
      </c>
      <c r="E110" s="4" t="e">
        <f t="shared" si="5"/>
        <v>#DIV/0!</v>
      </c>
    </row>
    <row r="111" spans="4:5" x14ac:dyDescent="0.35">
      <c r="D111" s="3">
        <f t="shared" si="4"/>
        <v>0</v>
      </c>
      <c r="E111" s="4" t="e">
        <f t="shared" si="5"/>
        <v>#DIV/0!</v>
      </c>
    </row>
    <row r="112" spans="4:5" x14ac:dyDescent="0.35">
      <c r="D112" s="3">
        <f t="shared" si="4"/>
        <v>0</v>
      </c>
      <c r="E112" s="4" t="e">
        <f t="shared" si="5"/>
        <v>#DIV/0!</v>
      </c>
    </row>
    <row r="113" spans="4:5" x14ac:dyDescent="0.35">
      <c r="D113" s="3">
        <f t="shared" si="4"/>
        <v>0</v>
      </c>
      <c r="E113" s="4" t="e">
        <f t="shared" si="5"/>
        <v>#DIV/0!</v>
      </c>
    </row>
    <row r="114" spans="4:5" x14ac:dyDescent="0.35">
      <c r="D114" s="3">
        <f t="shared" si="4"/>
        <v>0</v>
      </c>
      <c r="E114" s="4" t="e">
        <f t="shared" si="5"/>
        <v>#DIV/0!</v>
      </c>
    </row>
    <row r="115" spans="4:5" x14ac:dyDescent="0.35">
      <c r="D115" s="3">
        <f t="shared" si="4"/>
        <v>0</v>
      </c>
      <c r="E115" s="4" t="e">
        <f t="shared" si="5"/>
        <v>#DIV/0!</v>
      </c>
    </row>
    <row r="116" spans="4:5" x14ac:dyDescent="0.35">
      <c r="D116" s="3">
        <f t="shared" si="4"/>
        <v>0</v>
      </c>
      <c r="E116" s="4" t="e">
        <f t="shared" si="5"/>
        <v>#DIV/0!</v>
      </c>
    </row>
    <row r="117" spans="4:5" x14ac:dyDescent="0.35">
      <c r="D117" s="3">
        <f t="shared" si="4"/>
        <v>0</v>
      </c>
      <c r="E117" s="4" t="e">
        <f t="shared" si="5"/>
        <v>#DIV/0!</v>
      </c>
    </row>
    <row r="118" spans="4:5" x14ac:dyDescent="0.35">
      <c r="D118" s="3">
        <f t="shared" si="4"/>
        <v>0</v>
      </c>
      <c r="E118" s="4" t="e">
        <f t="shared" si="5"/>
        <v>#DIV/0!</v>
      </c>
    </row>
    <row r="119" spans="4:5" x14ac:dyDescent="0.35">
      <c r="D119" s="3">
        <f t="shared" si="4"/>
        <v>0</v>
      </c>
      <c r="E119" s="4" t="e">
        <f t="shared" si="5"/>
        <v>#DIV/0!</v>
      </c>
    </row>
    <row r="120" spans="4:5" x14ac:dyDescent="0.35">
      <c r="D120" s="3">
        <f t="shared" si="4"/>
        <v>0</v>
      </c>
      <c r="E120" s="4" t="e">
        <f t="shared" si="5"/>
        <v>#DIV/0!</v>
      </c>
    </row>
    <row r="121" spans="4:5" x14ac:dyDescent="0.35">
      <c r="D121" s="3">
        <f t="shared" si="4"/>
        <v>0</v>
      </c>
      <c r="E121" s="4" t="e">
        <f t="shared" si="5"/>
        <v>#DIV/0!</v>
      </c>
    </row>
    <row r="122" spans="4:5" x14ac:dyDescent="0.35">
      <c r="D122" s="3">
        <f t="shared" si="4"/>
        <v>0</v>
      </c>
      <c r="E122" s="4" t="e">
        <f t="shared" si="5"/>
        <v>#DIV/0!</v>
      </c>
    </row>
    <row r="123" spans="4:5" x14ac:dyDescent="0.35">
      <c r="D123" s="3">
        <f t="shared" si="4"/>
        <v>0</v>
      </c>
      <c r="E123" s="4" t="e">
        <f t="shared" si="5"/>
        <v>#DIV/0!</v>
      </c>
    </row>
    <row r="124" spans="4:5" x14ac:dyDescent="0.35">
      <c r="D124" s="3">
        <f t="shared" si="4"/>
        <v>0</v>
      </c>
      <c r="E124" s="4" t="e">
        <f t="shared" si="5"/>
        <v>#DIV/0!</v>
      </c>
    </row>
    <row r="125" spans="4:5" x14ac:dyDescent="0.35">
      <c r="D125" s="3">
        <f t="shared" si="4"/>
        <v>0</v>
      </c>
      <c r="E125" s="4" t="e">
        <f t="shared" si="5"/>
        <v>#DIV/0!</v>
      </c>
    </row>
    <row r="126" spans="4:5" x14ac:dyDescent="0.35">
      <c r="D126" s="3">
        <f t="shared" si="4"/>
        <v>0</v>
      </c>
      <c r="E126" s="4" t="e">
        <f t="shared" si="5"/>
        <v>#DIV/0!</v>
      </c>
    </row>
    <row r="127" spans="4:5" x14ac:dyDescent="0.35">
      <c r="D127" s="3">
        <f t="shared" si="4"/>
        <v>0</v>
      </c>
      <c r="E127" s="4" t="e">
        <f t="shared" si="5"/>
        <v>#DIV/0!</v>
      </c>
    </row>
    <row r="128" spans="4:5" x14ac:dyDescent="0.35">
      <c r="D128" s="3">
        <f t="shared" si="4"/>
        <v>0</v>
      </c>
      <c r="E128" s="4" t="e">
        <f t="shared" si="5"/>
        <v>#DIV/0!</v>
      </c>
    </row>
    <row r="129" spans="4:5" x14ac:dyDescent="0.35">
      <c r="D129" s="3">
        <f t="shared" si="4"/>
        <v>0</v>
      </c>
      <c r="E129" s="4" t="e">
        <f t="shared" si="5"/>
        <v>#DIV/0!</v>
      </c>
    </row>
    <row r="130" spans="4:5" x14ac:dyDescent="0.35">
      <c r="D130" s="3">
        <f t="shared" si="4"/>
        <v>0</v>
      </c>
      <c r="E130" s="4" t="e">
        <f t="shared" si="5"/>
        <v>#DIV/0!</v>
      </c>
    </row>
    <row r="131" spans="4:5" x14ac:dyDescent="0.35">
      <c r="D131" s="3">
        <f t="shared" si="4"/>
        <v>0</v>
      </c>
      <c r="E131" s="4" t="e">
        <f t="shared" si="5"/>
        <v>#DIV/0!</v>
      </c>
    </row>
    <row r="132" spans="4:5" x14ac:dyDescent="0.35">
      <c r="D132" s="3">
        <f t="shared" si="4"/>
        <v>0</v>
      </c>
      <c r="E132" s="4" t="e">
        <f t="shared" si="5"/>
        <v>#DIV/0!</v>
      </c>
    </row>
    <row r="133" spans="4:5" x14ac:dyDescent="0.35">
      <c r="D133" s="3">
        <f t="shared" si="4"/>
        <v>0</v>
      </c>
      <c r="E133" s="4" t="e">
        <f t="shared" si="5"/>
        <v>#DIV/0!</v>
      </c>
    </row>
    <row r="134" spans="4:5" x14ac:dyDescent="0.35">
      <c r="D134" s="3">
        <f t="shared" si="4"/>
        <v>0</v>
      </c>
      <c r="E134" s="4" t="e">
        <f t="shared" si="5"/>
        <v>#DIV/0!</v>
      </c>
    </row>
    <row r="135" spans="4:5" x14ac:dyDescent="0.35">
      <c r="D135" s="3">
        <f t="shared" ref="D135:D198" si="6">B135-C135</f>
        <v>0</v>
      </c>
      <c r="E135" s="4" t="e">
        <f t="shared" ref="E135:E198" si="7">C135/B135*100</f>
        <v>#DIV/0!</v>
      </c>
    </row>
    <row r="136" spans="4:5" x14ac:dyDescent="0.35">
      <c r="D136" s="3">
        <f t="shared" si="6"/>
        <v>0</v>
      </c>
      <c r="E136" s="4" t="e">
        <f t="shared" si="7"/>
        <v>#DIV/0!</v>
      </c>
    </row>
    <row r="137" spans="4:5" x14ac:dyDescent="0.35">
      <c r="D137" s="3">
        <f t="shared" si="6"/>
        <v>0</v>
      </c>
      <c r="E137" s="4" t="e">
        <f t="shared" si="7"/>
        <v>#DIV/0!</v>
      </c>
    </row>
    <row r="138" spans="4:5" x14ac:dyDescent="0.35">
      <c r="D138" s="3">
        <f t="shared" si="6"/>
        <v>0</v>
      </c>
      <c r="E138" s="4" t="e">
        <f t="shared" si="7"/>
        <v>#DIV/0!</v>
      </c>
    </row>
    <row r="139" spans="4:5" x14ac:dyDescent="0.35">
      <c r="D139" s="3">
        <f t="shared" si="6"/>
        <v>0</v>
      </c>
      <c r="E139" s="4" t="e">
        <f t="shared" si="7"/>
        <v>#DIV/0!</v>
      </c>
    </row>
    <row r="140" spans="4:5" x14ac:dyDescent="0.35">
      <c r="D140" s="3">
        <f t="shared" si="6"/>
        <v>0</v>
      </c>
      <c r="E140" s="4" t="e">
        <f t="shared" si="7"/>
        <v>#DIV/0!</v>
      </c>
    </row>
    <row r="141" spans="4:5" x14ac:dyDescent="0.35">
      <c r="D141" s="3">
        <f t="shared" si="6"/>
        <v>0</v>
      </c>
      <c r="E141" s="4" t="e">
        <f t="shared" si="7"/>
        <v>#DIV/0!</v>
      </c>
    </row>
    <row r="142" spans="4:5" x14ac:dyDescent="0.35">
      <c r="D142" s="3">
        <f t="shared" si="6"/>
        <v>0</v>
      </c>
      <c r="E142" s="4" t="e">
        <f t="shared" si="7"/>
        <v>#DIV/0!</v>
      </c>
    </row>
    <row r="143" spans="4:5" x14ac:dyDescent="0.35">
      <c r="D143" s="3">
        <f t="shared" si="6"/>
        <v>0</v>
      </c>
      <c r="E143" s="4" t="e">
        <f t="shared" si="7"/>
        <v>#DIV/0!</v>
      </c>
    </row>
    <row r="144" spans="4:5" x14ac:dyDescent="0.35">
      <c r="D144" s="3">
        <f t="shared" si="6"/>
        <v>0</v>
      </c>
      <c r="E144" s="4" t="e">
        <f t="shared" si="7"/>
        <v>#DIV/0!</v>
      </c>
    </row>
    <row r="145" spans="4:5" x14ac:dyDescent="0.35">
      <c r="D145" s="3">
        <f t="shared" si="6"/>
        <v>0</v>
      </c>
      <c r="E145" s="4" t="e">
        <f t="shared" si="7"/>
        <v>#DIV/0!</v>
      </c>
    </row>
    <row r="146" spans="4:5" x14ac:dyDescent="0.35">
      <c r="D146" s="3">
        <f t="shared" si="6"/>
        <v>0</v>
      </c>
      <c r="E146" s="4" t="e">
        <f t="shared" si="7"/>
        <v>#DIV/0!</v>
      </c>
    </row>
    <row r="147" spans="4:5" x14ac:dyDescent="0.35">
      <c r="D147" s="3">
        <f t="shared" si="6"/>
        <v>0</v>
      </c>
      <c r="E147" s="4" t="e">
        <f t="shared" si="7"/>
        <v>#DIV/0!</v>
      </c>
    </row>
    <row r="148" spans="4:5" x14ac:dyDescent="0.35">
      <c r="D148" s="3">
        <f t="shared" si="6"/>
        <v>0</v>
      </c>
      <c r="E148" s="4" t="e">
        <f t="shared" si="7"/>
        <v>#DIV/0!</v>
      </c>
    </row>
    <row r="149" spans="4:5" x14ac:dyDescent="0.35">
      <c r="D149" s="3">
        <f t="shared" si="6"/>
        <v>0</v>
      </c>
      <c r="E149" s="4" t="e">
        <f t="shared" si="7"/>
        <v>#DIV/0!</v>
      </c>
    </row>
    <row r="150" spans="4:5" x14ac:dyDescent="0.35">
      <c r="D150" s="3">
        <f t="shared" si="6"/>
        <v>0</v>
      </c>
      <c r="E150" s="4" t="e">
        <f t="shared" si="7"/>
        <v>#DIV/0!</v>
      </c>
    </row>
    <row r="151" spans="4:5" x14ac:dyDescent="0.35">
      <c r="D151" s="3">
        <f t="shared" si="6"/>
        <v>0</v>
      </c>
      <c r="E151" s="4" t="e">
        <f t="shared" si="7"/>
        <v>#DIV/0!</v>
      </c>
    </row>
    <row r="152" spans="4:5" x14ac:dyDescent="0.35">
      <c r="D152" s="3">
        <f t="shared" si="6"/>
        <v>0</v>
      </c>
      <c r="E152" s="4" t="e">
        <f t="shared" si="7"/>
        <v>#DIV/0!</v>
      </c>
    </row>
    <row r="153" spans="4:5" x14ac:dyDescent="0.35">
      <c r="D153" s="3">
        <f t="shared" si="6"/>
        <v>0</v>
      </c>
      <c r="E153" s="4" t="e">
        <f t="shared" si="7"/>
        <v>#DIV/0!</v>
      </c>
    </row>
    <row r="154" spans="4:5" x14ac:dyDescent="0.35">
      <c r="D154" s="3">
        <f t="shared" si="6"/>
        <v>0</v>
      </c>
      <c r="E154" s="4" t="e">
        <f t="shared" si="7"/>
        <v>#DIV/0!</v>
      </c>
    </row>
    <row r="155" spans="4:5" x14ac:dyDescent="0.35">
      <c r="D155" s="3">
        <f t="shared" si="6"/>
        <v>0</v>
      </c>
      <c r="E155" s="4" t="e">
        <f t="shared" si="7"/>
        <v>#DIV/0!</v>
      </c>
    </row>
    <row r="156" spans="4:5" x14ac:dyDescent="0.35">
      <c r="D156" s="3">
        <f t="shared" si="6"/>
        <v>0</v>
      </c>
      <c r="E156" s="4" t="e">
        <f t="shared" si="7"/>
        <v>#DIV/0!</v>
      </c>
    </row>
    <row r="157" spans="4:5" x14ac:dyDescent="0.35">
      <c r="D157" s="3">
        <f t="shared" si="6"/>
        <v>0</v>
      </c>
      <c r="E157" s="4" t="e">
        <f t="shared" si="7"/>
        <v>#DIV/0!</v>
      </c>
    </row>
    <row r="158" spans="4:5" x14ac:dyDescent="0.35">
      <c r="D158" s="3">
        <f t="shared" si="6"/>
        <v>0</v>
      </c>
      <c r="E158" s="4" t="e">
        <f t="shared" si="7"/>
        <v>#DIV/0!</v>
      </c>
    </row>
    <row r="159" spans="4:5" x14ac:dyDescent="0.35">
      <c r="D159" s="3">
        <f t="shared" si="6"/>
        <v>0</v>
      </c>
      <c r="E159" s="4" t="e">
        <f t="shared" si="7"/>
        <v>#DIV/0!</v>
      </c>
    </row>
    <row r="160" spans="4:5" x14ac:dyDescent="0.35">
      <c r="D160" s="3">
        <f t="shared" si="6"/>
        <v>0</v>
      </c>
      <c r="E160" s="4" t="e">
        <f t="shared" si="7"/>
        <v>#DIV/0!</v>
      </c>
    </row>
    <row r="161" spans="4:5" x14ac:dyDescent="0.35">
      <c r="D161" s="3">
        <f t="shared" si="6"/>
        <v>0</v>
      </c>
      <c r="E161" s="4" t="e">
        <f t="shared" si="7"/>
        <v>#DIV/0!</v>
      </c>
    </row>
    <row r="162" spans="4:5" x14ac:dyDescent="0.35">
      <c r="D162" s="3">
        <f t="shared" si="6"/>
        <v>0</v>
      </c>
      <c r="E162" s="4" t="e">
        <f t="shared" si="7"/>
        <v>#DIV/0!</v>
      </c>
    </row>
    <row r="163" spans="4:5" x14ac:dyDescent="0.35">
      <c r="D163" s="3">
        <f t="shared" si="6"/>
        <v>0</v>
      </c>
      <c r="E163" s="4" t="e">
        <f t="shared" si="7"/>
        <v>#DIV/0!</v>
      </c>
    </row>
    <row r="164" spans="4:5" x14ac:dyDescent="0.35">
      <c r="D164" s="3">
        <f t="shared" si="6"/>
        <v>0</v>
      </c>
      <c r="E164" s="4" t="e">
        <f t="shared" si="7"/>
        <v>#DIV/0!</v>
      </c>
    </row>
    <row r="165" spans="4:5" x14ac:dyDescent="0.35">
      <c r="D165" s="3">
        <f t="shared" si="6"/>
        <v>0</v>
      </c>
      <c r="E165" s="4" t="e">
        <f t="shared" si="7"/>
        <v>#DIV/0!</v>
      </c>
    </row>
    <row r="166" spans="4:5" x14ac:dyDescent="0.35">
      <c r="D166" s="3">
        <f t="shared" si="6"/>
        <v>0</v>
      </c>
      <c r="E166" s="4" t="e">
        <f t="shared" si="7"/>
        <v>#DIV/0!</v>
      </c>
    </row>
    <row r="167" spans="4:5" x14ac:dyDescent="0.35">
      <c r="D167" s="3">
        <f t="shared" si="6"/>
        <v>0</v>
      </c>
      <c r="E167" s="4" t="e">
        <f t="shared" si="7"/>
        <v>#DIV/0!</v>
      </c>
    </row>
    <row r="168" spans="4:5" x14ac:dyDescent="0.35">
      <c r="D168" s="3">
        <f t="shared" si="6"/>
        <v>0</v>
      </c>
      <c r="E168" s="4" t="e">
        <f t="shared" si="7"/>
        <v>#DIV/0!</v>
      </c>
    </row>
    <row r="169" spans="4:5" x14ac:dyDescent="0.35">
      <c r="D169" s="3">
        <f t="shared" si="6"/>
        <v>0</v>
      </c>
      <c r="E169" s="4" t="e">
        <f t="shared" si="7"/>
        <v>#DIV/0!</v>
      </c>
    </row>
    <row r="170" spans="4:5" x14ac:dyDescent="0.35">
      <c r="D170" s="3">
        <f t="shared" si="6"/>
        <v>0</v>
      </c>
      <c r="E170" s="4" t="e">
        <f t="shared" si="7"/>
        <v>#DIV/0!</v>
      </c>
    </row>
    <row r="171" spans="4:5" x14ac:dyDescent="0.35">
      <c r="D171" s="3">
        <f t="shared" si="6"/>
        <v>0</v>
      </c>
      <c r="E171" s="4" t="e">
        <f t="shared" si="7"/>
        <v>#DIV/0!</v>
      </c>
    </row>
    <row r="172" spans="4:5" x14ac:dyDescent="0.35">
      <c r="D172" s="3">
        <f t="shared" si="6"/>
        <v>0</v>
      </c>
      <c r="E172" s="4" t="e">
        <f t="shared" si="7"/>
        <v>#DIV/0!</v>
      </c>
    </row>
    <row r="173" spans="4:5" x14ac:dyDescent="0.35">
      <c r="D173" s="3">
        <f t="shared" si="6"/>
        <v>0</v>
      </c>
      <c r="E173" s="4" t="e">
        <f t="shared" si="7"/>
        <v>#DIV/0!</v>
      </c>
    </row>
    <row r="174" spans="4:5" x14ac:dyDescent="0.35">
      <c r="D174" s="3">
        <f t="shared" si="6"/>
        <v>0</v>
      </c>
      <c r="E174" s="4" t="e">
        <f t="shared" si="7"/>
        <v>#DIV/0!</v>
      </c>
    </row>
    <row r="175" spans="4:5" x14ac:dyDescent="0.35">
      <c r="D175" s="3">
        <f t="shared" si="6"/>
        <v>0</v>
      </c>
      <c r="E175" s="4" t="e">
        <f t="shared" si="7"/>
        <v>#DIV/0!</v>
      </c>
    </row>
    <row r="176" spans="4:5" x14ac:dyDescent="0.35">
      <c r="D176" s="3">
        <f t="shared" si="6"/>
        <v>0</v>
      </c>
      <c r="E176" s="4" t="e">
        <f t="shared" si="7"/>
        <v>#DIV/0!</v>
      </c>
    </row>
    <row r="177" spans="4:5" x14ac:dyDescent="0.35">
      <c r="D177" s="3">
        <f t="shared" si="6"/>
        <v>0</v>
      </c>
      <c r="E177" s="4" t="e">
        <f t="shared" si="7"/>
        <v>#DIV/0!</v>
      </c>
    </row>
    <row r="178" spans="4:5" x14ac:dyDescent="0.35">
      <c r="D178" s="3">
        <f t="shared" si="6"/>
        <v>0</v>
      </c>
      <c r="E178" s="4" t="e">
        <f t="shared" si="7"/>
        <v>#DIV/0!</v>
      </c>
    </row>
    <row r="179" spans="4:5" x14ac:dyDescent="0.35">
      <c r="D179" s="3">
        <f t="shared" si="6"/>
        <v>0</v>
      </c>
      <c r="E179" s="4" t="e">
        <f t="shared" si="7"/>
        <v>#DIV/0!</v>
      </c>
    </row>
    <row r="180" spans="4:5" x14ac:dyDescent="0.35">
      <c r="D180" s="3">
        <f t="shared" si="6"/>
        <v>0</v>
      </c>
      <c r="E180" s="4" t="e">
        <f t="shared" si="7"/>
        <v>#DIV/0!</v>
      </c>
    </row>
    <row r="181" spans="4:5" x14ac:dyDescent="0.35">
      <c r="D181" s="3">
        <f t="shared" si="6"/>
        <v>0</v>
      </c>
      <c r="E181" s="4" t="e">
        <f t="shared" si="7"/>
        <v>#DIV/0!</v>
      </c>
    </row>
    <row r="182" spans="4:5" x14ac:dyDescent="0.35">
      <c r="D182" s="3">
        <f t="shared" si="6"/>
        <v>0</v>
      </c>
      <c r="E182" s="4" t="e">
        <f t="shared" si="7"/>
        <v>#DIV/0!</v>
      </c>
    </row>
    <row r="183" spans="4:5" x14ac:dyDescent="0.35">
      <c r="D183" s="3">
        <f t="shared" si="6"/>
        <v>0</v>
      </c>
      <c r="E183" s="4" t="e">
        <f t="shared" si="7"/>
        <v>#DIV/0!</v>
      </c>
    </row>
    <row r="184" spans="4:5" x14ac:dyDescent="0.35">
      <c r="D184" s="3">
        <f t="shared" si="6"/>
        <v>0</v>
      </c>
      <c r="E184" s="4" t="e">
        <f t="shared" si="7"/>
        <v>#DIV/0!</v>
      </c>
    </row>
    <row r="185" spans="4:5" x14ac:dyDescent="0.35">
      <c r="D185" s="3">
        <f t="shared" si="6"/>
        <v>0</v>
      </c>
      <c r="E185" s="4" t="e">
        <f t="shared" si="7"/>
        <v>#DIV/0!</v>
      </c>
    </row>
    <row r="186" spans="4:5" x14ac:dyDescent="0.35">
      <c r="D186" s="3">
        <f t="shared" si="6"/>
        <v>0</v>
      </c>
      <c r="E186" s="4" t="e">
        <f t="shared" si="7"/>
        <v>#DIV/0!</v>
      </c>
    </row>
    <row r="187" spans="4:5" x14ac:dyDescent="0.35">
      <c r="D187" s="3">
        <f t="shared" si="6"/>
        <v>0</v>
      </c>
      <c r="E187" s="4" t="e">
        <f t="shared" si="7"/>
        <v>#DIV/0!</v>
      </c>
    </row>
    <row r="188" spans="4:5" x14ac:dyDescent="0.35">
      <c r="D188" s="3">
        <f t="shared" si="6"/>
        <v>0</v>
      </c>
      <c r="E188" s="4" t="e">
        <f t="shared" si="7"/>
        <v>#DIV/0!</v>
      </c>
    </row>
    <row r="189" spans="4:5" x14ac:dyDescent="0.35">
      <c r="D189" s="3">
        <f t="shared" si="6"/>
        <v>0</v>
      </c>
      <c r="E189" s="4" t="e">
        <f t="shared" si="7"/>
        <v>#DIV/0!</v>
      </c>
    </row>
    <row r="190" spans="4:5" x14ac:dyDescent="0.35">
      <c r="D190" s="3">
        <f t="shared" si="6"/>
        <v>0</v>
      </c>
      <c r="E190" s="4" t="e">
        <f t="shared" si="7"/>
        <v>#DIV/0!</v>
      </c>
    </row>
    <row r="191" spans="4:5" x14ac:dyDescent="0.35">
      <c r="D191" s="3">
        <f t="shared" si="6"/>
        <v>0</v>
      </c>
      <c r="E191" s="4" t="e">
        <f t="shared" si="7"/>
        <v>#DIV/0!</v>
      </c>
    </row>
    <row r="192" spans="4:5" x14ac:dyDescent="0.35">
      <c r="D192" s="3">
        <f t="shared" si="6"/>
        <v>0</v>
      </c>
      <c r="E192" s="4" t="e">
        <f t="shared" si="7"/>
        <v>#DIV/0!</v>
      </c>
    </row>
    <row r="193" spans="4:5" x14ac:dyDescent="0.35">
      <c r="D193" s="3">
        <f t="shared" si="6"/>
        <v>0</v>
      </c>
      <c r="E193" s="4" t="e">
        <f t="shared" si="7"/>
        <v>#DIV/0!</v>
      </c>
    </row>
    <row r="194" spans="4:5" x14ac:dyDescent="0.35">
      <c r="D194" s="3">
        <f t="shared" si="6"/>
        <v>0</v>
      </c>
      <c r="E194" s="4" t="e">
        <f t="shared" si="7"/>
        <v>#DIV/0!</v>
      </c>
    </row>
    <row r="195" spans="4:5" x14ac:dyDescent="0.35">
      <c r="D195" s="3">
        <f t="shared" si="6"/>
        <v>0</v>
      </c>
      <c r="E195" s="4" t="e">
        <f t="shared" si="7"/>
        <v>#DIV/0!</v>
      </c>
    </row>
    <row r="196" spans="4:5" x14ac:dyDescent="0.35">
      <c r="D196" s="3">
        <f t="shared" si="6"/>
        <v>0</v>
      </c>
      <c r="E196" s="4" t="e">
        <f t="shared" si="7"/>
        <v>#DIV/0!</v>
      </c>
    </row>
    <row r="197" spans="4:5" x14ac:dyDescent="0.35">
      <c r="D197" s="3">
        <f t="shared" si="6"/>
        <v>0</v>
      </c>
      <c r="E197" s="4" t="e">
        <f t="shared" si="7"/>
        <v>#DIV/0!</v>
      </c>
    </row>
    <row r="198" spans="4:5" x14ac:dyDescent="0.35">
      <c r="D198" s="3">
        <f t="shared" si="6"/>
        <v>0</v>
      </c>
      <c r="E198" s="4" t="e">
        <f t="shared" si="7"/>
        <v>#DIV/0!</v>
      </c>
    </row>
    <row r="199" spans="4:5" x14ac:dyDescent="0.35">
      <c r="D199" s="3">
        <f t="shared" ref="D199:D262" si="8">B199-C199</f>
        <v>0</v>
      </c>
      <c r="E199" s="4" t="e">
        <f t="shared" ref="E199:E262" si="9">C199/B199*100</f>
        <v>#DIV/0!</v>
      </c>
    </row>
    <row r="200" spans="4:5" x14ac:dyDescent="0.35">
      <c r="D200" s="3">
        <f t="shared" si="8"/>
        <v>0</v>
      </c>
      <c r="E200" s="4" t="e">
        <f t="shared" si="9"/>
        <v>#DIV/0!</v>
      </c>
    </row>
    <row r="201" spans="4:5" x14ac:dyDescent="0.35">
      <c r="D201" s="3">
        <f t="shared" si="8"/>
        <v>0</v>
      </c>
      <c r="E201" s="4" t="e">
        <f t="shared" si="9"/>
        <v>#DIV/0!</v>
      </c>
    </row>
    <row r="202" spans="4:5" x14ac:dyDescent="0.35">
      <c r="D202" s="3">
        <f t="shared" si="8"/>
        <v>0</v>
      </c>
      <c r="E202" s="4" t="e">
        <f t="shared" si="9"/>
        <v>#DIV/0!</v>
      </c>
    </row>
    <row r="203" spans="4:5" x14ac:dyDescent="0.35">
      <c r="D203" s="3">
        <f t="shared" si="8"/>
        <v>0</v>
      </c>
      <c r="E203" s="4" t="e">
        <f t="shared" si="9"/>
        <v>#DIV/0!</v>
      </c>
    </row>
    <row r="204" spans="4:5" x14ac:dyDescent="0.35">
      <c r="D204" s="3">
        <f t="shared" si="8"/>
        <v>0</v>
      </c>
      <c r="E204" s="4" t="e">
        <f t="shared" si="9"/>
        <v>#DIV/0!</v>
      </c>
    </row>
    <row r="205" spans="4:5" x14ac:dyDescent="0.35">
      <c r="D205" s="3">
        <f t="shared" si="8"/>
        <v>0</v>
      </c>
      <c r="E205" s="4" t="e">
        <f t="shared" si="9"/>
        <v>#DIV/0!</v>
      </c>
    </row>
    <row r="206" spans="4:5" x14ac:dyDescent="0.35">
      <c r="D206" s="3">
        <f t="shared" si="8"/>
        <v>0</v>
      </c>
      <c r="E206" s="4" t="e">
        <f t="shared" si="9"/>
        <v>#DIV/0!</v>
      </c>
    </row>
    <row r="207" spans="4:5" x14ac:dyDescent="0.35">
      <c r="D207" s="3">
        <f t="shared" si="8"/>
        <v>0</v>
      </c>
      <c r="E207" s="4" t="e">
        <f t="shared" si="9"/>
        <v>#DIV/0!</v>
      </c>
    </row>
    <row r="208" spans="4:5" x14ac:dyDescent="0.35">
      <c r="D208" s="3">
        <f t="shared" si="8"/>
        <v>0</v>
      </c>
      <c r="E208" s="4" t="e">
        <f t="shared" si="9"/>
        <v>#DIV/0!</v>
      </c>
    </row>
    <row r="209" spans="4:5" x14ac:dyDescent="0.35">
      <c r="D209" s="3">
        <f t="shared" si="8"/>
        <v>0</v>
      </c>
      <c r="E209" s="4" t="e">
        <f t="shared" si="9"/>
        <v>#DIV/0!</v>
      </c>
    </row>
    <row r="210" spans="4:5" x14ac:dyDescent="0.35">
      <c r="D210" s="3">
        <f t="shared" si="8"/>
        <v>0</v>
      </c>
      <c r="E210" s="4" t="e">
        <f t="shared" si="9"/>
        <v>#DIV/0!</v>
      </c>
    </row>
    <row r="211" spans="4:5" x14ac:dyDescent="0.35">
      <c r="D211" s="3">
        <f t="shared" si="8"/>
        <v>0</v>
      </c>
      <c r="E211" s="4" t="e">
        <f t="shared" si="9"/>
        <v>#DIV/0!</v>
      </c>
    </row>
    <row r="212" spans="4:5" x14ac:dyDescent="0.35">
      <c r="D212" s="3">
        <f t="shared" si="8"/>
        <v>0</v>
      </c>
      <c r="E212" s="4" t="e">
        <f t="shared" si="9"/>
        <v>#DIV/0!</v>
      </c>
    </row>
    <row r="213" spans="4:5" x14ac:dyDescent="0.35">
      <c r="D213" s="3">
        <f t="shared" si="8"/>
        <v>0</v>
      </c>
      <c r="E213" s="4" t="e">
        <f t="shared" si="9"/>
        <v>#DIV/0!</v>
      </c>
    </row>
    <row r="214" spans="4:5" x14ac:dyDescent="0.35">
      <c r="D214" s="3">
        <f t="shared" si="8"/>
        <v>0</v>
      </c>
      <c r="E214" s="4" t="e">
        <f t="shared" si="9"/>
        <v>#DIV/0!</v>
      </c>
    </row>
    <row r="215" spans="4:5" x14ac:dyDescent="0.35">
      <c r="D215" s="3">
        <f t="shared" si="8"/>
        <v>0</v>
      </c>
      <c r="E215" s="4" t="e">
        <f t="shared" si="9"/>
        <v>#DIV/0!</v>
      </c>
    </row>
    <row r="216" spans="4:5" x14ac:dyDescent="0.35">
      <c r="D216" s="3">
        <f t="shared" si="8"/>
        <v>0</v>
      </c>
      <c r="E216" s="4" t="e">
        <f t="shared" si="9"/>
        <v>#DIV/0!</v>
      </c>
    </row>
    <row r="217" spans="4:5" x14ac:dyDescent="0.35">
      <c r="D217" s="3">
        <f t="shared" si="8"/>
        <v>0</v>
      </c>
      <c r="E217" s="4" t="e">
        <f t="shared" si="9"/>
        <v>#DIV/0!</v>
      </c>
    </row>
    <row r="218" spans="4:5" x14ac:dyDescent="0.35">
      <c r="D218" s="3">
        <f t="shared" si="8"/>
        <v>0</v>
      </c>
      <c r="E218" s="4" t="e">
        <f t="shared" si="9"/>
        <v>#DIV/0!</v>
      </c>
    </row>
    <row r="219" spans="4:5" x14ac:dyDescent="0.35">
      <c r="D219" s="3">
        <f t="shared" si="8"/>
        <v>0</v>
      </c>
      <c r="E219" s="4" t="e">
        <f t="shared" si="9"/>
        <v>#DIV/0!</v>
      </c>
    </row>
    <row r="220" spans="4:5" x14ac:dyDescent="0.35">
      <c r="D220" s="3">
        <f t="shared" si="8"/>
        <v>0</v>
      </c>
      <c r="E220" s="4" t="e">
        <f t="shared" si="9"/>
        <v>#DIV/0!</v>
      </c>
    </row>
    <row r="221" spans="4:5" x14ac:dyDescent="0.35">
      <c r="D221" s="3">
        <f t="shared" si="8"/>
        <v>0</v>
      </c>
      <c r="E221" s="4" t="e">
        <f t="shared" si="9"/>
        <v>#DIV/0!</v>
      </c>
    </row>
    <row r="222" spans="4:5" x14ac:dyDescent="0.35">
      <c r="D222" s="3">
        <f t="shared" si="8"/>
        <v>0</v>
      </c>
      <c r="E222" s="4" t="e">
        <f t="shared" si="9"/>
        <v>#DIV/0!</v>
      </c>
    </row>
    <row r="223" spans="4:5" x14ac:dyDescent="0.35">
      <c r="D223" s="3">
        <f t="shared" si="8"/>
        <v>0</v>
      </c>
      <c r="E223" s="4" t="e">
        <f t="shared" si="9"/>
        <v>#DIV/0!</v>
      </c>
    </row>
    <row r="224" spans="4:5" x14ac:dyDescent="0.35">
      <c r="D224" s="3">
        <f t="shared" si="8"/>
        <v>0</v>
      </c>
      <c r="E224" s="4" t="e">
        <f t="shared" si="9"/>
        <v>#DIV/0!</v>
      </c>
    </row>
    <row r="225" spans="4:5" x14ac:dyDescent="0.35">
      <c r="D225" s="3">
        <f t="shared" si="8"/>
        <v>0</v>
      </c>
      <c r="E225" s="4" t="e">
        <f t="shared" si="9"/>
        <v>#DIV/0!</v>
      </c>
    </row>
    <row r="226" spans="4:5" x14ac:dyDescent="0.35">
      <c r="D226" s="3">
        <f t="shared" si="8"/>
        <v>0</v>
      </c>
      <c r="E226" s="4" t="e">
        <f t="shared" si="9"/>
        <v>#DIV/0!</v>
      </c>
    </row>
    <row r="227" spans="4:5" x14ac:dyDescent="0.35">
      <c r="D227" s="3">
        <f t="shared" si="8"/>
        <v>0</v>
      </c>
      <c r="E227" s="4" t="e">
        <f t="shared" si="9"/>
        <v>#DIV/0!</v>
      </c>
    </row>
    <row r="228" spans="4:5" x14ac:dyDescent="0.35">
      <c r="D228" s="3">
        <f t="shared" si="8"/>
        <v>0</v>
      </c>
      <c r="E228" s="4" t="e">
        <f t="shared" si="9"/>
        <v>#DIV/0!</v>
      </c>
    </row>
    <row r="229" spans="4:5" x14ac:dyDescent="0.35">
      <c r="D229" s="3">
        <f t="shared" si="8"/>
        <v>0</v>
      </c>
      <c r="E229" s="4" t="e">
        <f t="shared" si="9"/>
        <v>#DIV/0!</v>
      </c>
    </row>
    <row r="230" spans="4:5" x14ac:dyDescent="0.35">
      <c r="D230" s="3">
        <f t="shared" si="8"/>
        <v>0</v>
      </c>
      <c r="E230" s="4" t="e">
        <f t="shared" si="9"/>
        <v>#DIV/0!</v>
      </c>
    </row>
    <row r="231" spans="4:5" x14ac:dyDescent="0.35">
      <c r="D231" s="3">
        <f t="shared" si="8"/>
        <v>0</v>
      </c>
      <c r="E231" s="4" t="e">
        <f t="shared" si="9"/>
        <v>#DIV/0!</v>
      </c>
    </row>
    <row r="232" spans="4:5" x14ac:dyDescent="0.35">
      <c r="D232" s="3">
        <f t="shared" si="8"/>
        <v>0</v>
      </c>
      <c r="E232" s="4" t="e">
        <f t="shared" si="9"/>
        <v>#DIV/0!</v>
      </c>
    </row>
    <row r="233" spans="4:5" x14ac:dyDescent="0.35">
      <c r="D233" s="3">
        <f t="shared" si="8"/>
        <v>0</v>
      </c>
      <c r="E233" s="4" t="e">
        <f t="shared" si="9"/>
        <v>#DIV/0!</v>
      </c>
    </row>
    <row r="234" spans="4:5" x14ac:dyDescent="0.35">
      <c r="D234" s="3">
        <f t="shared" si="8"/>
        <v>0</v>
      </c>
      <c r="E234" s="4" t="e">
        <f t="shared" si="9"/>
        <v>#DIV/0!</v>
      </c>
    </row>
    <row r="235" spans="4:5" x14ac:dyDescent="0.35">
      <c r="D235" s="3">
        <f t="shared" si="8"/>
        <v>0</v>
      </c>
      <c r="E235" s="4" t="e">
        <f t="shared" si="9"/>
        <v>#DIV/0!</v>
      </c>
    </row>
    <row r="236" spans="4:5" x14ac:dyDescent="0.35">
      <c r="D236" s="3">
        <f t="shared" si="8"/>
        <v>0</v>
      </c>
      <c r="E236" s="4" t="e">
        <f t="shared" si="9"/>
        <v>#DIV/0!</v>
      </c>
    </row>
    <row r="237" spans="4:5" x14ac:dyDescent="0.35">
      <c r="D237" s="3">
        <f t="shared" si="8"/>
        <v>0</v>
      </c>
      <c r="E237" s="4" t="e">
        <f t="shared" si="9"/>
        <v>#DIV/0!</v>
      </c>
    </row>
    <row r="238" spans="4:5" x14ac:dyDescent="0.35">
      <c r="D238" s="3">
        <f t="shared" si="8"/>
        <v>0</v>
      </c>
      <c r="E238" s="4" t="e">
        <f t="shared" si="9"/>
        <v>#DIV/0!</v>
      </c>
    </row>
    <row r="239" spans="4:5" x14ac:dyDescent="0.35">
      <c r="D239" s="3">
        <f t="shared" si="8"/>
        <v>0</v>
      </c>
      <c r="E239" s="4" t="e">
        <f t="shared" si="9"/>
        <v>#DIV/0!</v>
      </c>
    </row>
    <row r="240" spans="4:5" x14ac:dyDescent="0.35">
      <c r="D240" s="3">
        <f t="shared" si="8"/>
        <v>0</v>
      </c>
      <c r="E240" s="4" t="e">
        <f t="shared" si="9"/>
        <v>#DIV/0!</v>
      </c>
    </row>
    <row r="241" spans="4:5" x14ac:dyDescent="0.35">
      <c r="D241" s="3">
        <f t="shared" si="8"/>
        <v>0</v>
      </c>
      <c r="E241" s="4" t="e">
        <f t="shared" si="9"/>
        <v>#DIV/0!</v>
      </c>
    </row>
    <row r="242" spans="4:5" x14ac:dyDescent="0.35">
      <c r="D242" s="3">
        <f t="shared" si="8"/>
        <v>0</v>
      </c>
      <c r="E242" s="4" t="e">
        <f t="shared" si="9"/>
        <v>#DIV/0!</v>
      </c>
    </row>
    <row r="243" spans="4:5" x14ac:dyDescent="0.35">
      <c r="D243" s="3">
        <f t="shared" si="8"/>
        <v>0</v>
      </c>
      <c r="E243" s="4" t="e">
        <f t="shared" si="9"/>
        <v>#DIV/0!</v>
      </c>
    </row>
    <row r="244" spans="4:5" x14ac:dyDescent="0.35">
      <c r="D244" s="3">
        <f t="shared" si="8"/>
        <v>0</v>
      </c>
      <c r="E244" s="4" t="e">
        <f t="shared" si="9"/>
        <v>#DIV/0!</v>
      </c>
    </row>
    <row r="245" spans="4:5" x14ac:dyDescent="0.35">
      <c r="D245" s="3">
        <f t="shared" si="8"/>
        <v>0</v>
      </c>
      <c r="E245" s="4" t="e">
        <f t="shared" si="9"/>
        <v>#DIV/0!</v>
      </c>
    </row>
    <row r="246" spans="4:5" x14ac:dyDescent="0.35">
      <c r="D246" s="3">
        <f t="shared" si="8"/>
        <v>0</v>
      </c>
      <c r="E246" s="4" t="e">
        <f t="shared" si="9"/>
        <v>#DIV/0!</v>
      </c>
    </row>
    <row r="247" spans="4:5" x14ac:dyDescent="0.35">
      <c r="D247" s="3">
        <f t="shared" si="8"/>
        <v>0</v>
      </c>
      <c r="E247" s="4" t="e">
        <f t="shared" si="9"/>
        <v>#DIV/0!</v>
      </c>
    </row>
    <row r="248" spans="4:5" x14ac:dyDescent="0.35">
      <c r="D248" s="3">
        <f t="shared" si="8"/>
        <v>0</v>
      </c>
      <c r="E248" s="4" t="e">
        <f t="shared" si="9"/>
        <v>#DIV/0!</v>
      </c>
    </row>
    <row r="249" spans="4:5" x14ac:dyDescent="0.35">
      <c r="D249" s="3">
        <f t="shared" si="8"/>
        <v>0</v>
      </c>
      <c r="E249" s="4" t="e">
        <f t="shared" si="9"/>
        <v>#DIV/0!</v>
      </c>
    </row>
    <row r="250" spans="4:5" x14ac:dyDescent="0.35">
      <c r="D250" s="3">
        <f t="shared" si="8"/>
        <v>0</v>
      </c>
      <c r="E250" s="4" t="e">
        <f t="shared" si="9"/>
        <v>#DIV/0!</v>
      </c>
    </row>
    <row r="251" spans="4:5" x14ac:dyDescent="0.35">
      <c r="D251" s="3">
        <f t="shared" si="8"/>
        <v>0</v>
      </c>
      <c r="E251" s="4" t="e">
        <f t="shared" si="9"/>
        <v>#DIV/0!</v>
      </c>
    </row>
    <row r="252" spans="4:5" x14ac:dyDescent="0.35">
      <c r="D252" s="3">
        <f t="shared" si="8"/>
        <v>0</v>
      </c>
      <c r="E252" s="4" t="e">
        <f t="shared" si="9"/>
        <v>#DIV/0!</v>
      </c>
    </row>
    <row r="253" spans="4:5" x14ac:dyDescent="0.35">
      <c r="D253" s="3">
        <f t="shared" si="8"/>
        <v>0</v>
      </c>
      <c r="E253" s="4" t="e">
        <f t="shared" si="9"/>
        <v>#DIV/0!</v>
      </c>
    </row>
    <row r="254" spans="4:5" x14ac:dyDescent="0.35">
      <c r="D254" s="3">
        <f t="shared" si="8"/>
        <v>0</v>
      </c>
      <c r="E254" s="4" t="e">
        <f t="shared" si="9"/>
        <v>#DIV/0!</v>
      </c>
    </row>
    <row r="255" spans="4:5" x14ac:dyDescent="0.35">
      <c r="D255" s="3">
        <f t="shared" si="8"/>
        <v>0</v>
      </c>
      <c r="E255" s="4" t="e">
        <f t="shared" si="9"/>
        <v>#DIV/0!</v>
      </c>
    </row>
    <row r="256" spans="4:5" x14ac:dyDescent="0.35">
      <c r="D256" s="3">
        <f t="shared" si="8"/>
        <v>0</v>
      </c>
      <c r="E256" s="4" t="e">
        <f t="shared" si="9"/>
        <v>#DIV/0!</v>
      </c>
    </row>
    <row r="257" spans="4:5" x14ac:dyDescent="0.35">
      <c r="D257" s="3">
        <f t="shared" si="8"/>
        <v>0</v>
      </c>
      <c r="E257" s="4" t="e">
        <f t="shared" si="9"/>
        <v>#DIV/0!</v>
      </c>
    </row>
    <row r="258" spans="4:5" x14ac:dyDescent="0.35">
      <c r="D258" s="3">
        <f t="shared" si="8"/>
        <v>0</v>
      </c>
      <c r="E258" s="4" t="e">
        <f t="shared" si="9"/>
        <v>#DIV/0!</v>
      </c>
    </row>
    <row r="259" spans="4:5" x14ac:dyDescent="0.35">
      <c r="D259" s="3">
        <f t="shared" si="8"/>
        <v>0</v>
      </c>
      <c r="E259" s="4" t="e">
        <f t="shared" si="9"/>
        <v>#DIV/0!</v>
      </c>
    </row>
    <row r="260" spans="4:5" x14ac:dyDescent="0.35">
      <c r="D260" s="3">
        <f t="shared" si="8"/>
        <v>0</v>
      </c>
      <c r="E260" s="4" t="e">
        <f t="shared" si="9"/>
        <v>#DIV/0!</v>
      </c>
    </row>
    <row r="261" spans="4:5" x14ac:dyDescent="0.35">
      <c r="D261" s="3">
        <f t="shared" si="8"/>
        <v>0</v>
      </c>
      <c r="E261" s="4" t="e">
        <f t="shared" si="9"/>
        <v>#DIV/0!</v>
      </c>
    </row>
    <row r="262" spans="4:5" x14ac:dyDescent="0.35">
      <c r="D262" s="3">
        <f t="shared" si="8"/>
        <v>0</v>
      </c>
      <c r="E262" s="4" t="e">
        <f t="shared" si="9"/>
        <v>#DIV/0!</v>
      </c>
    </row>
    <row r="263" spans="4:5" x14ac:dyDescent="0.35">
      <c r="D263" s="3">
        <f t="shared" ref="D263:D326" si="10">B263-C263</f>
        <v>0</v>
      </c>
      <c r="E263" s="4" t="e">
        <f t="shared" ref="E263:E326" si="11">C263/B263*100</f>
        <v>#DIV/0!</v>
      </c>
    </row>
    <row r="264" spans="4:5" x14ac:dyDescent="0.35">
      <c r="D264" s="3">
        <f t="shared" si="10"/>
        <v>0</v>
      </c>
      <c r="E264" s="4" t="e">
        <f t="shared" si="11"/>
        <v>#DIV/0!</v>
      </c>
    </row>
    <row r="265" spans="4:5" x14ac:dyDescent="0.35">
      <c r="D265" s="3">
        <f t="shared" si="10"/>
        <v>0</v>
      </c>
      <c r="E265" s="4" t="e">
        <f t="shared" si="11"/>
        <v>#DIV/0!</v>
      </c>
    </row>
    <row r="266" spans="4:5" x14ac:dyDescent="0.35">
      <c r="D266" s="3">
        <f t="shared" si="10"/>
        <v>0</v>
      </c>
      <c r="E266" s="4" t="e">
        <f t="shared" si="11"/>
        <v>#DIV/0!</v>
      </c>
    </row>
    <row r="267" spans="4:5" x14ac:dyDescent="0.35">
      <c r="D267" s="3">
        <f t="shared" si="10"/>
        <v>0</v>
      </c>
      <c r="E267" s="4" t="e">
        <f t="shared" si="11"/>
        <v>#DIV/0!</v>
      </c>
    </row>
    <row r="268" spans="4:5" x14ac:dyDescent="0.35">
      <c r="D268" s="3">
        <f t="shared" si="10"/>
        <v>0</v>
      </c>
      <c r="E268" s="4" t="e">
        <f t="shared" si="11"/>
        <v>#DIV/0!</v>
      </c>
    </row>
    <row r="269" spans="4:5" x14ac:dyDescent="0.35">
      <c r="D269" s="3">
        <f t="shared" si="10"/>
        <v>0</v>
      </c>
      <c r="E269" s="4" t="e">
        <f t="shared" si="11"/>
        <v>#DIV/0!</v>
      </c>
    </row>
    <row r="270" spans="4:5" x14ac:dyDescent="0.35">
      <c r="D270" s="3">
        <f t="shared" si="10"/>
        <v>0</v>
      </c>
      <c r="E270" s="4" t="e">
        <f t="shared" si="11"/>
        <v>#DIV/0!</v>
      </c>
    </row>
    <row r="271" spans="4:5" x14ac:dyDescent="0.35">
      <c r="D271" s="3">
        <f t="shared" si="10"/>
        <v>0</v>
      </c>
      <c r="E271" s="4" t="e">
        <f t="shared" si="11"/>
        <v>#DIV/0!</v>
      </c>
    </row>
    <row r="272" spans="4:5" x14ac:dyDescent="0.35">
      <c r="D272" s="3">
        <f t="shared" si="10"/>
        <v>0</v>
      </c>
      <c r="E272" s="4" t="e">
        <f t="shared" si="11"/>
        <v>#DIV/0!</v>
      </c>
    </row>
    <row r="273" spans="4:5" x14ac:dyDescent="0.35">
      <c r="D273" s="3">
        <f t="shared" si="10"/>
        <v>0</v>
      </c>
      <c r="E273" s="4" t="e">
        <f t="shared" si="11"/>
        <v>#DIV/0!</v>
      </c>
    </row>
    <row r="274" spans="4:5" x14ac:dyDescent="0.35">
      <c r="D274" s="3">
        <f t="shared" si="10"/>
        <v>0</v>
      </c>
      <c r="E274" s="4" t="e">
        <f t="shared" si="11"/>
        <v>#DIV/0!</v>
      </c>
    </row>
    <row r="275" spans="4:5" x14ac:dyDescent="0.35">
      <c r="D275" s="3">
        <f t="shared" si="10"/>
        <v>0</v>
      </c>
      <c r="E275" s="4" t="e">
        <f t="shared" si="11"/>
        <v>#DIV/0!</v>
      </c>
    </row>
    <row r="276" spans="4:5" x14ac:dyDescent="0.35">
      <c r="D276" s="3">
        <f t="shared" si="10"/>
        <v>0</v>
      </c>
      <c r="E276" s="4" t="e">
        <f t="shared" si="11"/>
        <v>#DIV/0!</v>
      </c>
    </row>
    <row r="277" spans="4:5" x14ac:dyDescent="0.35">
      <c r="D277" s="3">
        <f t="shared" si="10"/>
        <v>0</v>
      </c>
      <c r="E277" s="4" t="e">
        <f t="shared" si="11"/>
        <v>#DIV/0!</v>
      </c>
    </row>
    <row r="278" spans="4:5" x14ac:dyDescent="0.35">
      <c r="D278" s="3">
        <f t="shared" si="10"/>
        <v>0</v>
      </c>
      <c r="E278" s="4" t="e">
        <f t="shared" si="11"/>
        <v>#DIV/0!</v>
      </c>
    </row>
    <row r="279" spans="4:5" x14ac:dyDescent="0.35">
      <c r="D279" s="3">
        <f t="shared" si="10"/>
        <v>0</v>
      </c>
      <c r="E279" s="4" t="e">
        <f t="shared" si="11"/>
        <v>#DIV/0!</v>
      </c>
    </row>
    <row r="280" spans="4:5" x14ac:dyDescent="0.35">
      <c r="D280" s="3">
        <f t="shared" si="10"/>
        <v>0</v>
      </c>
      <c r="E280" s="4" t="e">
        <f t="shared" si="11"/>
        <v>#DIV/0!</v>
      </c>
    </row>
    <row r="281" spans="4:5" x14ac:dyDescent="0.35">
      <c r="D281" s="3">
        <f t="shared" si="10"/>
        <v>0</v>
      </c>
      <c r="E281" s="4" t="e">
        <f t="shared" si="11"/>
        <v>#DIV/0!</v>
      </c>
    </row>
    <row r="282" spans="4:5" x14ac:dyDescent="0.35">
      <c r="D282" s="3">
        <f t="shared" si="10"/>
        <v>0</v>
      </c>
      <c r="E282" s="4" t="e">
        <f t="shared" si="11"/>
        <v>#DIV/0!</v>
      </c>
    </row>
    <row r="283" spans="4:5" x14ac:dyDescent="0.35">
      <c r="D283" s="3">
        <f t="shared" si="10"/>
        <v>0</v>
      </c>
      <c r="E283" s="4" t="e">
        <f t="shared" si="11"/>
        <v>#DIV/0!</v>
      </c>
    </row>
    <row r="284" spans="4:5" x14ac:dyDescent="0.35">
      <c r="D284" s="3">
        <f t="shared" si="10"/>
        <v>0</v>
      </c>
      <c r="E284" s="4" t="e">
        <f t="shared" si="11"/>
        <v>#DIV/0!</v>
      </c>
    </row>
    <row r="285" spans="4:5" x14ac:dyDescent="0.35">
      <c r="D285" s="3">
        <f t="shared" si="10"/>
        <v>0</v>
      </c>
      <c r="E285" s="4" t="e">
        <f t="shared" si="11"/>
        <v>#DIV/0!</v>
      </c>
    </row>
    <row r="286" spans="4:5" x14ac:dyDescent="0.35">
      <c r="D286" s="3">
        <f t="shared" si="10"/>
        <v>0</v>
      </c>
      <c r="E286" s="4" t="e">
        <f t="shared" si="11"/>
        <v>#DIV/0!</v>
      </c>
    </row>
    <row r="287" spans="4:5" x14ac:dyDescent="0.35">
      <c r="D287" s="3">
        <f t="shared" si="10"/>
        <v>0</v>
      </c>
      <c r="E287" s="4" t="e">
        <f t="shared" si="11"/>
        <v>#DIV/0!</v>
      </c>
    </row>
    <row r="288" spans="4:5" x14ac:dyDescent="0.35">
      <c r="D288" s="3">
        <f t="shared" si="10"/>
        <v>0</v>
      </c>
      <c r="E288" s="4" t="e">
        <f t="shared" si="11"/>
        <v>#DIV/0!</v>
      </c>
    </row>
    <row r="289" spans="4:5" x14ac:dyDescent="0.35">
      <c r="D289" s="3">
        <f t="shared" si="10"/>
        <v>0</v>
      </c>
      <c r="E289" s="4" t="e">
        <f t="shared" si="11"/>
        <v>#DIV/0!</v>
      </c>
    </row>
    <row r="290" spans="4:5" x14ac:dyDescent="0.35">
      <c r="D290" s="3">
        <f t="shared" si="10"/>
        <v>0</v>
      </c>
      <c r="E290" s="4" t="e">
        <f t="shared" si="11"/>
        <v>#DIV/0!</v>
      </c>
    </row>
    <row r="291" spans="4:5" x14ac:dyDescent="0.35">
      <c r="D291" s="3">
        <f t="shared" si="10"/>
        <v>0</v>
      </c>
      <c r="E291" s="4" t="e">
        <f t="shared" si="11"/>
        <v>#DIV/0!</v>
      </c>
    </row>
    <row r="292" spans="4:5" x14ac:dyDescent="0.35">
      <c r="D292" s="3">
        <f t="shared" si="10"/>
        <v>0</v>
      </c>
      <c r="E292" s="4" t="e">
        <f t="shared" si="11"/>
        <v>#DIV/0!</v>
      </c>
    </row>
    <row r="293" spans="4:5" x14ac:dyDescent="0.35">
      <c r="D293" s="3">
        <f t="shared" si="10"/>
        <v>0</v>
      </c>
      <c r="E293" s="4" t="e">
        <f t="shared" si="11"/>
        <v>#DIV/0!</v>
      </c>
    </row>
    <row r="294" spans="4:5" x14ac:dyDescent="0.35">
      <c r="D294" s="3">
        <f t="shared" si="10"/>
        <v>0</v>
      </c>
      <c r="E294" s="4" t="e">
        <f t="shared" si="11"/>
        <v>#DIV/0!</v>
      </c>
    </row>
    <row r="295" spans="4:5" x14ac:dyDescent="0.35">
      <c r="D295" s="3">
        <f t="shared" si="10"/>
        <v>0</v>
      </c>
      <c r="E295" s="4" t="e">
        <f t="shared" si="11"/>
        <v>#DIV/0!</v>
      </c>
    </row>
    <row r="296" spans="4:5" x14ac:dyDescent="0.35">
      <c r="D296" s="3">
        <f t="shared" si="10"/>
        <v>0</v>
      </c>
      <c r="E296" s="4" t="e">
        <f t="shared" si="11"/>
        <v>#DIV/0!</v>
      </c>
    </row>
    <row r="297" spans="4:5" x14ac:dyDescent="0.35">
      <c r="D297" s="3">
        <f t="shared" si="10"/>
        <v>0</v>
      </c>
      <c r="E297" s="4" t="e">
        <f t="shared" si="11"/>
        <v>#DIV/0!</v>
      </c>
    </row>
    <row r="298" spans="4:5" x14ac:dyDescent="0.35">
      <c r="D298" s="3">
        <f t="shared" si="10"/>
        <v>0</v>
      </c>
      <c r="E298" s="4" t="e">
        <f t="shared" si="11"/>
        <v>#DIV/0!</v>
      </c>
    </row>
    <row r="299" spans="4:5" x14ac:dyDescent="0.35">
      <c r="D299" s="3">
        <f t="shared" si="10"/>
        <v>0</v>
      </c>
      <c r="E299" s="4" t="e">
        <f t="shared" si="11"/>
        <v>#DIV/0!</v>
      </c>
    </row>
    <row r="300" spans="4:5" x14ac:dyDescent="0.35">
      <c r="D300" s="3">
        <f t="shared" si="10"/>
        <v>0</v>
      </c>
      <c r="E300" s="4" t="e">
        <f t="shared" si="11"/>
        <v>#DIV/0!</v>
      </c>
    </row>
    <row r="301" spans="4:5" x14ac:dyDescent="0.35">
      <c r="D301" s="3">
        <f t="shared" si="10"/>
        <v>0</v>
      </c>
      <c r="E301" s="4" t="e">
        <f t="shared" si="11"/>
        <v>#DIV/0!</v>
      </c>
    </row>
    <row r="302" spans="4:5" x14ac:dyDescent="0.35">
      <c r="D302" s="3">
        <f t="shared" si="10"/>
        <v>0</v>
      </c>
      <c r="E302" s="4" t="e">
        <f t="shared" si="11"/>
        <v>#DIV/0!</v>
      </c>
    </row>
    <row r="303" spans="4:5" x14ac:dyDescent="0.35">
      <c r="D303" s="3">
        <f t="shared" si="10"/>
        <v>0</v>
      </c>
      <c r="E303" s="4" t="e">
        <f t="shared" si="11"/>
        <v>#DIV/0!</v>
      </c>
    </row>
    <row r="304" spans="4:5" x14ac:dyDescent="0.35">
      <c r="D304" s="3">
        <f t="shared" si="10"/>
        <v>0</v>
      </c>
      <c r="E304" s="4" t="e">
        <f t="shared" si="11"/>
        <v>#DIV/0!</v>
      </c>
    </row>
    <row r="305" spans="4:5" x14ac:dyDescent="0.35">
      <c r="D305" s="3">
        <f t="shared" si="10"/>
        <v>0</v>
      </c>
      <c r="E305" s="4" t="e">
        <f t="shared" si="11"/>
        <v>#DIV/0!</v>
      </c>
    </row>
    <row r="306" spans="4:5" x14ac:dyDescent="0.35">
      <c r="D306" s="3">
        <f t="shared" si="10"/>
        <v>0</v>
      </c>
      <c r="E306" s="4" t="e">
        <f t="shared" si="11"/>
        <v>#DIV/0!</v>
      </c>
    </row>
    <row r="307" spans="4:5" x14ac:dyDescent="0.35">
      <c r="D307" s="3">
        <f t="shared" si="10"/>
        <v>0</v>
      </c>
      <c r="E307" s="4" t="e">
        <f t="shared" si="11"/>
        <v>#DIV/0!</v>
      </c>
    </row>
    <row r="308" spans="4:5" x14ac:dyDescent="0.35">
      <c r="D308" s="3">
        <f t="shared" si="10"/>
        <v>0</v>
      </c>
      <c r="E308" s="4" t="e">
        <f t="shared" si="11"/>
        <v>#DIV/0!</v>
      </c>
    </row>
    <row r="309" spans="4:5" x14ac:dyDescent="0.35">
      <c r="D309" s="3">
        <f t="shared" si="10"/>
        <v>0</v>
      </c>
      <c r="E309" s="4" t="e">
        <f t="shared" si="11"/>
        <v>#DIV/0!</v>
      </c>
    </row>
    <row r="310" spans="4:5" x14ac:dyDescent="0.35">
      <c r="D310" s="3">
        <f t="shared" si="10"/>
        <v>0</v>
      </c>
      <c r="E310" s="4" t="e">
        <f t="shared" si="11"/>
        <v>#DIV/0!</v>
      </c>
    </row>
    <row r="311" spans="4:5" x14ac:dyDescent="0.35">
      <c r="D311" s="3">
        <f t="shared" si="10"/>
        <v>0</v>
      </c>
      <c r="E311" s="4" t="e">
        <f t="shared" si="11"/>
        <v>#DIV/0!</v>
      </c>
    </row>
    <row r="312" spans="4:5" x14ac:dyDescent="0.35">
      <c r="D312" s="3">
        <f t="shared" si="10"/>
        <v>0</v>
      </c>
      <c r="E312" s="4" t="e">
        <f t="shared" si="11"/>
        <v>#DIV/0!</v>
      </c>
    </row>
    <row r="313" spans="4:5" x14ac:dyDescent="0.35">
      <c r="D313" s="3">
        <f t="shared" si="10"/>
        <v>0</v>
      </c>
      <c r="E313" s="4" t="e">
        <f t="shared" si="11"/>
        <v>#DIV/0!</v>
      </c>
    </row>
    <row r="314" spans="4:5" x14ac:dyDescent="0.35">
      <c r="D314" s="3">
        <f t="shared" si="10"/>
        <v>0</v>
      </c>
      <c r="E314" s="4" t="e">
        <f t="shared" si="11"/>
        <v>#DIV/0!</v>
      </c>
    </row>
    <row r="315" spans="4:5" x14ac:dyDescent="0.35">
      <c r="D315" s="3">
        <f t="shared" si="10"/>
        <v>0</v>
      </c>
      <c r="E315" s="4" t="e">
        <f t="shared" si="11"/>
        <v>#DIV/0!</v>
      </c>
    </row>
    <row r="316" spans="4:5" x14ac:dyDescent="0.35">
      <c r="D316" s="3">
        <f t="shared" si="10"/>
        <v>0</v>
      </c>
      <c r="E316" s="4" t="e">
        <f t="shared" si="11"/>
        <v>#DIV/0!</v>
      </c>
    </row>
    <row r="317" spans="4:5" x14ac:dyDescent="0.35">
      <c r="D317" s="3">
        <f t="shared" si="10"/>
        <v>0</v>
      </c>
      <c r="E317" s="4" t="e">
        <f t="shared" si="11"/>
        <v>#DIV/0!</v>
      </c>
    </row>
    <row r="318" spans="4:5" x14ac:dyDescent="0.35">
      <c r="D318" s="3">
        <f t="shared" si="10"/>
        <v>0</v>
      </c>
      <c r="E318" s="4" t="e">
        <f t="shared" si="11"/>
        <v>#DIV/0!</v>
      </c>
    </row>
    <row r="319" spans="4:5" x14ac:dyDescent="0.35">
      <c r="D319" s="3">
        <f t="shared" si="10"/>
        <v>0</v>
      </c>
      <c r="E319" s="4" t="e">
        <f t="shared" si="11"/>
        <v>#DIV/0!</v>
      </c>
    </row>
    <row r="320" spans="4:5" x14ac:dyDescent="0.35">
      <c r="D320" s="3">
        <f t="shared" si="10"/>
        <v>0</v>
      </c>
      <c r="E320" s="4" t="e">
        <f t="shared" si="11"/>
        <v>#DIV/0!</v>
      </c>
    </row>
    <row r="321" spans="4:5" x14ac:dyDescent="0.35">
      <c r="D321" s="3">
        <f t="shared" si="10"/>
        <v>0</v>
      </c>
      <c r="E321" s="4" t="e">
        <f t="shared" si="11"/>
        <v>#DIV/0!</v>
      </c>
    </row>
    <row r="322" spans="4:5" x14ac:dyDescent="0.35">
      <c r="D322" s="3">
        <f t="shared" si="10"/>
        <v>0</v>
      </c>
      <c r="E322" s="4" t="e">
        <f t="shared" si="11"/>
        <v>#DIV/0!</v>
      </c>
    </row>
    <row r="323" spans="4:5" x14ac:dyDescent="0.35">
      <c r="D323" s="3">
        <f t="shared" si="10"/>
        <v>0</v>
      </c>
      <c r="E323" s="4" t="e">
        <f t="shared" si="11"/>
        <v>#DIV/0!</v>
      </c>
    </row>
    <row r="324" spans="4:5" x14ac:dyDescent="0.35">
      <c r="D324" s="3">
        <f t="shared" si="10"/>
        <v>0</v>
      </c>
      <c r="E324" s="4" t="e">
        <f t="shared" si="11"/>
        <v>#DIV/0!</v>
      </c>
    </row>
    <row r="325" spans="4:5" x14ac:dyDescent="0.35">
      <c r="D325" s="3">
        <f t="shared" si="10"/>
        <v>0</v>
      </c>
      <c r="E325" s="4" t="e">
        <f t="shared" si="11"/>
        <v>#DIV/0!</v>
      </c>
    </row>
    <row r="326" spans="4:5" x14ac:dyDescent="0.35">
      <c r="D326" s="3">
        <f t="shared" si="10"/>
        <v>0</v>
      </c>
      <c r="E326" s="4" t="e">
        <f t="shared" si="11"/>
        <v>#DIV/0!</v>
      </c>
    </row>
    <row r="327" spans="4:5" x14ac:dyDescent="0.35">
      <c r="D327" s="3">
        <f t="shared" ref="D327:D358" si="12">B327-C327</f>
        <v>0</v>
      </c>
      <c r="E327" s="4" t="e">
        <f t="shared" ref="E327:E358" si="13">C327/B327*100</f>
        <v>#DIV/0!</v>
      </c>
    </row>
    <row r="328" spans="4:5" x14ac:dyDescent="0.35">
      <c r="D328" s="3">
        <f t="shared" si="12"/>
        <v>0</v>
      </c>
      <c r="E328" s="4" t="e">
        <f t="shared" si="13"/>
        <v>#DIV/0!</v>
      </c>
    </row>
    <row r="329" spans="4:5" x14ac:dyDescent="0.35">
      <c r="D329" s="3">
        <f t="shared" si="12"/>
        <v>0</v>
      </c>
      <c r="E329" s="4" t="e">
        <f t="shared" si="13"/>
        <v>#DIV/0!</v>
      </c>
    </row>
    <row r="330" spans="4:5" x14ac:dyDescent="0.35">
      <c r="D330" s="3">
        <f t="shared" si="12"/>
        <v>0</v>
      </c>
      <c r="E330" s="4" t="e">
        <f t="shared" si="13"/>
        <v>#DIV/0!</v>
      </c>
    </row>
    <row r="331" spans="4:5" x14ac:dyDescent="0.35">
      <c r="D331" s="3">
        <f t="shared" si="12"/>
        <v>0</v>
      </c>
      <c r="E331" s="4" t="e">
        <f t="shared" si="13"/>
        <v>#DIV/0!</v>
      </c>
    </row>
    <row r="332" spans="4:5" x14ac:dyDescent="0.35">
      <c r="D332" s="3">
        <f t="shared" si="12"/>
        <v>0</v>
      </c>
      <c r="E332" s="4" t="e">
        <f t="shared" si="13"/>
        <v>#DIV/0!</v>
      </c>
    </row>
    <row r="333" spans="4:5" x14ac:dyDescent="0.35">
      <c r="D333" s="3">
        <f t="shared" si="12"/>
        <v>0</v>
      </c>
      <c r="E333" s="4" t="e">
        <f t="shared" si="13"/>
        <v>#DIV/0!</v>
      </c>
    </row>
    <row r="334" spans="4:5" x14ac:dyDescent="0.35">
      <c r="D334" s="3">
        <f t="shared" si="12"/>
        <v>0</v>
      </c>
      <c r="E334" s="4" t="e">
        <f t="shared" si="13"/>
        <v>#DIV/0!</v>
      </c>
    </row>
    <row r="335" spans="4:5" x14ac:dyDescent="0.35">
      <c r="D335" s="3">
        <f t="shared" si="12"/>
        <v>0</v>
      </c>
      <c r="E335" s="4" t="e">
        <f t="shared" si="13"/>
        <v>#DIV/0!</v>
      </c>
    </row>
    <row r="336" spans="4:5" x14ac:dyDescent="0.35">
      <c r="D336" s="3">
        <f t="shared" si="12"/>
        <v>0</v>
      </c>
      <c r="E336" s="4" t="e">
        <f t="shared" si="13"/>
        <v>#DIV/0!</v>
      </c>
    </row>
    <row r="337" spans="4:5" x14ac:dyDescent="0.35">
      <c r="D337" s="3">
        <f t="shared" si="12"/>
        <v>0</v>
      </c>
      <c r="E337" s="4" t="e">
        <f t="shared" si="13"/>
        <v>#DIV/0!</v>
      </c>
    </row>
    <row r="338" spans="4:5" x14ac:dyDescent="0.35">
      <c r="D338" s="3">
        <f t="shared" si="12"/>
        <v>0</v>
      </c>
      <c r="E338" s="4" t="e">
        <f t="shared" si="13"/>
        <v>#DIV/0!</v>
      </c>
    </row>
    <row r="339" spans="4:5" x14ac:dyDescent="0.35">
      <c r="D339" s="3">
        <f t="shared" si="12"/>
        <v>0</v>
      </c>
      <c r="E339" s="4" t="e">
        <f t="shared" si="13"/>
        <v>#DIV/0!</v>
      </c>
    </row>
    <row r="340" spans="4:5" x14ac:dyDescent="0.35">
      <c r="D340" s="3">
        <f t="shared" si="12"/>
        <v>0</v>
      </c>
      <c r="E340" s="4" t="e">
        <f t="shared" si="13"/>
        <v>#DIV/0!</v>
      </c>
    </row>
    <row r="341" spans="4:5" x14ac:dyDescent="0.35">
      <c r="D341" s="3">
        <f t="shared" si="12"/>
        <v>0</v>
      </c>
      <c r="E341" s="4" t="e">
        <f t="shared" si="13"/>
        <v>#DIV/0!</v>
      </c>
    </row>
    <row r="342" spans="4:5" x14ac:dyDescent="0.35">
      <c r="D342" s="3">
        <f t="shared" si="12"/>
        <v>0</v>
      </c>
      <c r="E342" s="4" t="e">
        <f t="shared" si="13"/>
        <v>#DIV/0!</v>
      </c>
    </row>
    <row r="343" spans="4:5" x14ac:dyDescent="0.35">
      <c r="D343" s="3">
        <f t="shared" si="12"/>
        <v>0</v>
      </c>
      <c r="E343" s="4" t="e">
        <f t="shared" si="13"/>
        <v>#DIV/0!</v>
      </c>
    </row>
    <row r="344" spans="4:5" x14ac:dyDescent="0.35">
      <c r="D344" s="3">
        <f t="shared" si="12"/>
        <v>0</v>
      </c>
      <c r="E344" s="4" t="e">
        <f t="shared" si="13"/>
        <v>#DIV/0!</v>
      </c>
    </row>
    <row r="345" spans="4:5" x14ac:dyDescent="0.35">
      <c r="D345" s="3">
        <f t="shared" si="12"/>
        <v>0</v>
      </c>
      <c r="E345" s="4" t="e">
        <f t="shared" si="13"/>
        <v>#DIV/0!</v>
      </c>
    </row>
    <row r="346" spans="4:5" x14ac:dyDescent="0.35">
      <c r="D346" s="3">
        <f t="shared" si="12"/>
        <v>0</v>
      </c>
      <c r="E346" s="4" t="e">
        <f t="shared" si="13"/>
        <v>#DIV/0!</v>
      </c>
    </row>
    <row r="347" spans="4:5" x14ac:dyDescent="0.35">
      <c r="D347" s="3">
        <f t="shared" si="12"/>
        <v>0</v>
      </c>
      <c r="E347" s="4" t="e">
        <f t="shared" si="13"/>
        <v>#DIV/0!</v>
      </c>
    </row>
    <row r="348" spans="4:5" x14ac:dyDescent="0.35">
      <c r="D348" s="3">
        <f t="shared" si="12"/>
        <v>0</v>
      </c>
      <c r="E348" s="4" t="e">
        <f t="shared" si="13"/>
        <v>#DIV/0!</v>
      </c>
    </row>
    <row r="349" spans="4:5" x14ac:dyDescent="0.35">
      <c r="D349" s="3">
        <f t="shared" si="12"/>
        <v>0</v>
      </c>
      <c r="E349" s="4" t="e">
        <f t="shared" si="13"/>
        <v>#DIV/0!</v>
      </c>
    </row>
    <row r="350" spans="4:5" x14ac:dyDescent="0.35">
      <c r="D350" s="3">
        <f t="shared" si="12"/>
        <v>0</v>
      </c>
      <c r="E350" s="4" t="e">
        <f t="shared" si="13"/>
        <v>#DIV/0!</v>
      </c>
    </row>
    <row r="351" spans="4:5" x14ac:dyDescent="0.35">
      <c r="D351" s="3">
        <f t="shared" si="12"/>
        <v>0</v>
      </c>
      <c r="E351" s="4" t="e">
        <f t="shared" si="13"/>
        <v>#DIV/0!</v>
      </c>
    </row>
    <row r="352" spans="4:5" x14ac:dyDescent="0.35">
      <c r="D352" s="3">
        <f t="shared" si="12"/>
        <v>0</v>
      </c>
      <c r="E352" s="4" t="e">
        <f t="shared" si="13"/>
        <v>#DIV/0!</v>
      </c>
    </row>
    <row r="353" spans="4:5" x14ac:dyDescent="0.35">
      <c r="D353" s="3">
        <f t="shared" si="12"/>
        <v>0</v>
      </c>
      <c r="E353" s="4" t="e">
        <f t="shared" si="13"/>
        <v>#DIV/0!</v>
      </c>
    </row>
    <row r="354" spans="4:5" x14ac:dyDescent="0.35">
      <c r="D354" s="3">
        <f t="shared" si="12"/>
        <v>0</v>
      </c>
      <c r="E354" s="4" t="e">
        <f t="shared" si="13"/>
        <v>#DIV/0!</v>
      </c>
    </row>
    <row r="355" spans="4:5" x14ac:dyDescent="0.35">
      <c r="D355" s="3">
        <f t="shared" si="12"/>
        <v>0</v>
      </c>
      <c r="E355" s="4" t="e">
        <f t="shared" si="13"/>
        <v>#DIV/0!</v>
      </c>
    </row>
    <row r="356" spans="4:5" x14ac:dyDescent="0.35">
      <c r="D356" s="3">
        <f t="shared" si="12"/>
        <v>0</v>
      </c>
      <c r="E356" s="4" t="e">
        <f t="shared" si="13"/>
        <v>#DIV/0!</v>
      </c>
    </row>
    <row r="357" spans="4:5" x14ac:dyDescent="0.35">
      <c r="D357" s="3">
        <f t="shared" si="12"/>
        <v>0</v>
      </c>
      <c r="E357" s="4" t="e">
        <f t="shared" si="13"/>
        <v>#DIV/0!</v>
      </c>
    </row>
    <row r="358" spans="4:5" x14ac:dyDescent="0.35">
      <c r="D358" s="3">
        <f t="shared" si="12"/>
        <v>0</v>
      </c>
      <c r="E358" s="4" t="e">
        <f t="shared" si="13"/>
        <v>#DIV/0!</v>
      </c>
    </row>
  </sheetData>
  <conditionalFormatting sqref="E6:E358">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6C224-A487-4839-B40D-5CF0167DF7B7}">
  <sheetPr>
    <tabColor theme="8" tint="0.39997558519241921"/>
  </sheetPr>
  <dimension ref="A1:L175"/>
  <sheetViews>
    <sheetView workbookViewId="0">
      <selection activeCell="A17" sqref="A17"/>
    </sheetView>
  </sheetViews>
  <sheetFormatPr defaultRowHeight="14.5" x14ac:dyDescent="0.35"/>
  <cols>
    <col min="1" max="1" width="10.26953125" bestFit="1" customWidth="1"/>
    <col min="2" max="2" width="10.1796875" bestFit="1" customWidth="1"/>
    <col min="3" max="4" width="36.1796875" bestFit="1" customWidth="1"/>
    <col min="5" max="5" width="27.1796875" bestFit="1" customWidth="1"/>
    <col min="6" max="6" width="23.1796875" bestFit="1" customWidth="1"/>
    <col min="7" max="7" width="27.54296875" bestFit="1" customWidth="1"/>
    <col min="8" max="8" width="7.81640625" bestFit="1" customWidth="1"/>
    <col min="9" max="9" width="26" bestFit="1" customWidth="1"/>
    <col min="10" max="10" width="26" customWidth="1"/>
    <col min="11" max="11" width="21.26953125" bestFit="1" customWidth="1"/>
  </cols>
  <sheetData>
    <row r="1" spans="1:12" x14ac:dyDescent="0.35">
      <c r="A1" t="s">
        <v>73</v>
      </c>
      <c r="B1" t="s">
        <v>74</v>
      </c>
      <c r="C1" t="s">
        <v>75</v>
      </c>
      <c r="D1" t="s">
        <v>21</v>
      </c>
      <c r="E1" t="s">
        <v>76</v>
      </c>
      <c r="F1" t="s">
        <v>20</v>
      </c>
      <c r="G1" t="s">
        <v>19</v>
      </c>
      <c r="H1" t="s">
        <v>77</v>
      </c>
      <c r="I1" t="s">
        <v>78</v>
      </c>
      <c r="J1" t="s">
        <v>13</v>
      </c>
      <c r="K1" t="s">
        <v>79</v>
      </c>
      <c r="L1" t="s">
        <v>17</v>
      </c>
    </row>
    <row r="2" spans="1:12" x14ac:dyDescent="0.35">
      <c r="A2" s="1">
        <v>46024</v>
      </c>
      <c r="B2" t="s">
        <v>80</v>
      </c>
      <c r="C2" t="s">
        <v>85</v>
      </c>
      <c r="D2" t="s">
        <v>69</v>
      </c>
      <c r="E2" t="s">
        <v>81</v>
      </c>
      <c r="F2" t="s">
        <v>86</v>
      </c>
      <c r="G2" t="s">
        <v>55</v>
      </c>
      <c r="H2" t="s">
        <v>84</v>
      </c>
      <c r="I2">
        <v>0</v>
      </c>
      <c r="J2">
        <v>0</v>
      </c>
      <c r="K2">
        <v>1</v>
      </c>
      <c r="L2" t="s">
        <v>72</v>
      </c>
    </row>
    <row r="3" spans="1:12" x14ac:dyDescent="0.35">
      <c r="A3" s="1">
        <v>46024</v>
      </c>
      <c r="B3" t="s">
        <v>80</v>
      </c>
      <c r="C3" t="s">
        <v>87</v>
      </c>
      <c r="D3" t="s">
        <v>36</v>
      </c>
      <c r="E3" t="s">
        <v>81</v>
      </c>
      <c r="F3" t="s">
        <v>86</v>
      </c>
      <c r="G3" t="s">
        <v>88</v>
      </c>
      <c r="H3" t="s">
        <v>84</v>
      </c>
      <c r="I3">
        <v>0</v>
      </c>
      <c r="J3">
        <v>0</v>
      </c>
      <c r="K3">
        <v>0</v>
      </c>
      <c r="L3" t="s">
        <v>72</v>
      </c>
    </row>
    <row r="4" spans="1:12" x14ac:dyDescent="0.35">
      <c r="A4" s="1">
        <v>46024</v>
      </c>
      <c r="B4" t="s">
        <v>80</v>
      </c>
      <c r="C4" t="s">
        <v>89</v>
      </c>
      <c r="D4" t="s">
        <v>41</v>
      </c>
      <c r="E4" t="s">
        <v>81</v>
      </c>
      <c r="F4" t="s">
        <v>86</v>
      </c>
      <c r="G4" t="s">
        <v>70</v>
      </c>
      <c r="H4" t="s">
        <v>84</v>
      </c>
      <c r="I4">
        <v>0</v>
      </c>
      <c r="J4">
        <v>0</v>
      </c>
      <c r="K4">
        <v>1</v>
      </c>
      <c r="L4" t="s">
        <v>72</v>
      </c>
    </row>
    <row r="5" spans="1:12" x14ac:dyDescent="0.35">
      <c r="A5" s="1">
        <v>46024</v>
      </c>
      <c r="B5" t="s">
        <v>80</v>
      </c>
      <c r="C5" t="s">
        <v>61</v>
      </c>
      <c r="D5" t="s">
        <v>45</v>
      </c>
      <c r="E5" t="s">
        <v>81</v>
      </c>
      <c r="F5" t="s">
        <v>86</v>
      </c>
      <c r="G5" t="s">
        <v>70</v>
      </c>
      <c r="H5" t="s">
        <v>82</v>
      </c>
      <c r="I5">
        <v>1</v>
      </c>
      <c r="J5">
        <v>1</v>
      </c>
      <c r="K5">
        <v>2</v>
      </c>
      <c r="L5" t="s">
        <v>72</v>
      </c>
    </row>
    <row r="6" spans="1:12" x14ac:dyDescent="0.35">
      <c r="A6" s="1">
        <v>46024</v>
      </c>
      <c r="B6" t="s">
        <v>80</v>
      </c>
      <c r="C6" t="s">
        <v>62</v>
      </c>
      <c r="D6" t="s">
        <v>59</v>
      </c>
      <c r="E6" t="s">
        <v>81</v>
      </c>
      <c r="F6" t="s">
        <v>86</v>
      </c>
      <c r="G6" t="s">
        <v>55</v>
      </c>
      <c r="H6" t="s">
        <v>82</v>
      </c>
      <c r="I6">
        <v>0</v>
      </c>
      <c r="J6">
        <v>0</v>
      </c>
      <c r="K6">
        <v>0</v>
      </c>
      <c r="L6" t="s">
        <v>72</v>
      </c>
    </row>
    <row r="7" spans="1:12" x14ac:dyDescent="0.35">
      <c r="A7" s="1">
        <v>46024</v>
      </c>
      <c r="B7" t="s">
        <v>80</v>
      </c>
      <c r="C7" t="s">
        <v>90</v>
      </c>
      <c r="D7" t="s">
        <v>42</v>
      </c>
      <c r="E7" t="s">
        <v>91</v>
      </c>
      <c r="F7" t="s">
        <v>42</v>
      </c>
      <c r="G7" t="s">
        <v>42</v>
      </c>
      <c r="H7" t="s">
        <v>84</v>
      </c>
      <c r="I7">
        <v>0</v>
      </c>
      <c r="J7">
        <v>0</v>
      </c>
      <c r="K7">
        <v>0</v>
      </c>
      <c r="L7" t="s">
        <v>72</v>
      </c>
    </row>
    <row r="8" spans="1:12" x14ac:dyDescent="0.35">
      <c r="A8" s="1">
        <v>46024</v>
      </c>
      <c r="B8" t="s">
        <v>80</v>
      </c>
      <c r="C8" t="s">
        <v>92</v>
      </c>
      <c r="D8" t="s">
        <v>60</v>
      </c>
      <c r="E8" t="s">
        <v>83</v>
      </c>
      <c r="F8" t="s">
        <v>86</v>
      </c>
      <c r="G8" t="s">
        <v>60</v>
      </c>
      <c r="H8" t="s">
        <v>84</v>
      </c>
      <c r="I8">
        <v>2</v>
      </c>
      <c r="J8">
        <v>1</v>
      </c>
      <c r="K8">
        <v>3</v>
      </c>
      <c r="L8" t="s">
        <v>72</v>
      </c>
    </row>
    <row r="9" spans="1:12" x14ac:dyDescent="0.35">
      <c r="A9" s="1">
        <v>46024</v>
      </c>
      <c r="B9" t="s">
        <v>80</v>
      </c>
      <c r="C9" t="s">
        <v>93</v>
      </c>
      <c r="D9" t="s">
        <v>41</v>
      </c>
      <c r="E9" t="s">
        <v>81</v>
      </c>
      <c r="F9" t="s">
        <v>86</v>
      </c>
      <c r="G9" t="s">
        <v>70</v>
      </c>
      <c r="H9" t="s">
        <v>84</v>
      </c>
      <c r="I9">
        <v>0</v>
      </c>
      <c r="J9">
        <v>0</v>
      </c>
      <c r="K9">
        <v>1</v>
      </c>
      <c r="L9" t="s">
        <v>72</v>
      </c>
    </row>
    <row r="10" spans="1:12" x14ac:dyDescent="0.35">
      <c r="A10" s="1">
        <v>46024</v>
      </c>
      <c r="B10" t="s">
        <v>80</v>
      </c>
      <c r="C10" t="s">
        <v>94</v>
      </c>
      <c r="D10" t="s">
        <v>64</v>
      </c>
      <c r="E10" t="s">
        <v>83</v>
      </c>
      <c r="F10" t="s">
        <v>86</v>
      </c>
      <c r="G10" t="s">
        <v>60</v>
      </c>
      <c r="H10" t="s">
        <v>84</v>
      </c>
      <c r="I10">
        <v>0</v>
      </c>
      <c r="J10">
        <v>0</v>
      </c>
      <c r="K10">
        <v>0</v>
      </c>
      <c r="L10" t="s">
        <v>72</v>
      </c>
    </row>
    <row r="11" spans="1:12" x14ac:dyDescent="0.35">
      <c r="A11" s="1">
        <v>46024</v>
      </c>
      <c r="B11" t="s">
        <v>80</v>
      </c>
      <c r="C11" t="s">
        <v>95</v>
      </c>
      <c r="D11" t="s">
        <v>41</v>
      </c>
      <c r="E11" t="s">
        <v>81</v>
      </c>
      <c r="F11" t="s">
        <v>86</v>
      </c>
      <c r="G11" t="s">
        <v>70</v>
      </c>
      <c r="H11" t="s">
        <v>84</v>
      </c>
      <c r="I11">
        <v>0</v>
      </c>
      <c r="J11">
        <v>0</v>
      </c>
      <c r="K11">
        <v>0</v>
      </c>
      <c r="L11" t="s">
        <v>72</v>
      </c>
    </row>
    <row r="12" spans="1:12" x14ac:dyDescent="0.35">
      <c r="A12" s="1">
        <v>46024</v>
      </c>
      <c r="B12" t="s">
        <v>80</v>
      </c>
      <c r="C12" t="s">
        <v>29</v>
      </c>
      <c r="D12" t="s">
        <v>60</v>
      </c>
      <c r="E12" t="s">
        <v>83</v>
      </c>
      <c r="F12" t="s">
        <v>86</v>
      </c>
      <c r="G12" t="s">
        <v>60</v>
      </c>
      <c r="H12" t="s">
        <v>82</v>
      </c>
      <c r="I12">
        <v>2</v>
      </c>
      <c r="J12">
        <v>1</v>
      </c>
      <c r="K12">
        <v>4</v>
      </c>
      <c r="L12" t="s">
        <v>72</v>
      </c>
    </row>
    <row r="13" spans="1:12" x14ac:dyDescent="0.35">
      <c r="A13" s="1">
        <v>46024</v>
      </c>
      <c r="B13" t="s">
        <v>80</v>
      </c>
      <c r="C13" t="s">
        <v>96</v>
      </c>
      <c r="D13" t="s">
        <v>31</v>
      </c>
      <c r="E13" t="s">
        <v>81</v>
      </c>
      <c r="F13" t="s">
        <v>86</v>
      </c>
      <c r="G13" t="s">
        <v>55</v>
      </c>
      <c r="H13" t="s">
        <v>84</v>
      </c>
      <c r="I13">
        <v>0</v>
      </c>
      <c r="J13">
        <v>0</v>
      </c>
      <c r="K13">
        <v>1</v>
      </c>
      <c r="L13" t="s">
        <v>72</v>
      </c>
    </row>
    <row r="14" spans="1:12" x14ac:dyDescent="0.35">
      <c r="A14" s="1">
        <v>46024</v>
      </c>
      <c r="B14" t="s">
        <v>80</v>
      </c>
      <c r="C14" t="s">
        <v>35</v>
      </c>
      <c r="D14" t="s">
        <v>42</v>
      </c>
      <c r="E14" t="s">
        <v>91</v>
      </c>
      <c r="F14" t="s">
        <v>42</v>
      </c>
      <c r="G14" t="s">
        <v>42</v>
      </c>
      <c r="H14" t="s">
        <v>82</v>
      </c>
      <c r="I14">
        <v>0</v>
      </c>
      <c r="J14">
        <v>0</v>
      </c>
      <c r="K14">
        <v>0</v>
      </c>
      <c r="L14" t="s">
        <v>72</v>
      </c>
    </row>
    <row r="15" spans="1:12" x14ac:dyDescent="0.35">
      <c r="A15" s="1">
        <v>46024</v>
      </c>
      <c r="B15" t="s">
        <v>80</v>
      </c>
      <c r="C15" t="s">
        <v>97</v>
      </c>
      <c r="D15" t="s">
        <v>47</v>
      </c>
      <c r="E15" t="s">
        <v>81</v>
      </c>
      <c r="F15" t="s">
        <v>86</v>
      </c>
      <c r="G15" t="s">
        <v>70</v>
      </c>
      <c r="H15" t="s">
        <v>84</v>
      </c>
      <c r="I15">
        <v>0</v>
      </c>
      <c r="J15">
        <v>0</v>
      </c>
      <c r="K15">
        <v>1</v>
      </c>
      <c r="L15" t="s">
        <v>72</v>
      </c>
    </row>
    <row r="16" spans="1:12" x14ac:dyDescent="0.35">
      <c r="A16" s="1">
        <v>46024</v>
      </c>
      <c r="B16" t="s">
        <v>80</v>
      </c>
      <c r="C16" t="s">
        <v>98</v>
      </c>
      <c r="D16" t="s">
        <v>51</v>
      </c>
      <c r="E16" t="s">
        <v>81</v>
      </c>
      <c r="F16" t="s">
        <v>86</v>
      </c>
      <c r="G16" t="s">
        <v>70</v>
      </c>
      <c r="H16" t="s">
        <v>84</v>
      </c>
      <c r="I16">
        <v>1</v>
      </c>
      <c r="J16">
        <v>1</v>
      </c>
      <c r="K16">
        <v>1</v>
      </c>
      <c r="L16" t="s">
        <v>72</v>
      </c>
    </row>
    <row r="17" spans="1:12" x14ac:dyDescent="0.35">
      <c r="A17" s="1">
        <v>46024</v>
      </c>
      <c r="B17" t="s">
        <v>80</v>
      </c>
      <c r="C17" t="s">
        <v>99</v>
      </c>
      <c r="D17" t="s">
        <v>59</v>
      </c>
      <c r="E17" t="s">
        <v>81</v>
      </c>
      <c r="F17" t="s">
        <v>86</v>
      </c>
      <c r="G17" t="s">
        <v>55</v>
      </c>
      <c r="H17" t="s">
        <v>84</v>
      </c>
      <c r="I17">
        <v>0</v>
      </c>
      <c r="J17">
        <v>0</v>
      </c>
      <c r="K17">
        <v>0</v>
      </c>
      <c r="L17" t="s">
        <v>72</v>
      </c>
    </row>
    <row r="18" spans="1:12" x14ac:dyDescent="0.35">
      <c r="A18" s="1">
        <v>46024</v>
      </c>
      <c r="B18" t="s">
        <v>80</v>
      </c>
      <c r="C18" t="s">
        <v>100</v>
      </c>
      <c r="D18" t="s">
        <v>30</v>
      </c>
      <c r="E18" t="s">
        <v>81</v>
      </c>
      <c r="F18" t="s">
        <v>42</v>
      </c>
      <c r="G18" t="s">
        <v>26</v>
      </c>
      <c r="H18" t="s">
        <v>84</v>
      </c>
      <c r="I18">
        <v>0</v>
      </c>
      <c r="J18">
        <v>0</v>
      </c>
      <c r="K18">
        <v>0</v>
      </c>
      <c r="L18" t="s">
        <v>72</v>
      </c>
    </row>
    <row r="19" spans="1:12" x14ac:dyDescent="0.35">
      <c r="A19" s="1">
        <v>46024</v>
      </c>
      <c r="B19" t="s">
        <v>80</v>
      </c>
      <c r="C19" t="s">
        <v>101</v>
      </c>
      <c r="D19" t="s">
        <v>58</v>
      </c>
      <c r="E19" t="s">
        <v>81</v>
      </c>
      <c r="F19" t="s">
        <v>86</v>
      </c>
      <c r="G19" t="s">
        <v>70</v>
      </c>
      <c r="H19" t="s">
        <v>84</v>
      </c>
      <c r="I19">
        <v>2</v>
      </c>
      <c r="J19">
        <v>1</v>
      </c>
      <c r="K19">
        <v>4</v>
      </c>
      <c r="L19" t="s">
        <v>72</v>
      </c>
    </row>
    <row r="20" spans="1:12" x14ac:dyDescent="0.35">
      <c r="A20" s="1">
        <v>46024</v>
      </c>
      <c r="B20" t="s">
        <v>80</v>
      </c>
      <c r="C20" t="s">
        <v>102</v>
      </c>
      <c r="D20" t="s">
        <v>26</v>
      </c>
      <c r="E20" t="s">
        <v>81</v>
      </c>
      <c r="F20" t="s">
        <v>42</v>
      </c>
      <c r="G20" t="s">
        <v>26</v>
      </c>
      <c r="H20" t="s">
        <v>84</v>
      </c>
      <c r="I20">
        <v>0</v>
      </c>
      <c r="J20">
        <v>0</v>
      </c>
      <c r="K20">
        <v>0</v>
      </c>
      <c r="L20" t="s">
        <v>72</v>
      </c>
    </row>
    <row r="21" spans="1:12" x14ac:dyDescent="0.35">
      <c r="A21" s="1">
        <v>46024</v>
      </c>
      <c r="B21" t="s">
        <v>80</v>
      </c>
      <c r="C21" t="s">
        <v>104</v>
      </c>
      <c r="D21" t="s">
        <v>66</v>
      </c>
      <c r="E21" t="s">
        <v>81</v>
      </c>
      <c r="F21" t="s">
        <v>86</v>
      </c>
      <c r="G21" t="s">
        <v>70</v>
      </c>
      <c r="H21" t="s">
        <v>84</v>
      </c>
      <c r="I21">
        <v>0</v>
      </c>
      <c r="J21">
        <v>0</v>
      </c>
      <c r="K21">
        <v>1</v>
      </c>
      <c r="L21" t="s">
        <v>72</v>
      </c>
    </row>
    <row r="22" spans="1:12" x14ac:dyDescent="0.35">
      <c r="A22" s="1">
        <v>46024</v>
      </c>
      <c r="B22" t="s">
        <v>80</v>
      </c>
      <c r="C22" t="s">
        <v>34</v>
      </c>
      <c r="D22" t="s">
        <v>59</v>
      </c>
      <c r="E22" t="s">
        <v>81</v>
      </c>
      <c r="F22" t="s">
        <v>86</v>
      </c>
      <c r="G22" t="s">
        <v>55</v>
      </c>
      <c r="H22" t="s">
        <v>82</v>
      </c>
      <c r="I22">
        <v>0</v>
      </c>
      <c r="J22">
        <v>0</v>
      </c>
      <c r="K22">
        <v>0</v>
      </c>
      <c r="L22" t="s">
        <v>72</v>
      </c>
    </row>
    <row r="23" spans="1:12" x14ac:dyDescent="0.35">
      <c r="A23" s="1">
        <v>46024</v>
      </c>
      <c r="B23" t="s">
        <v>80</v>
      </c>
      <c r="C23" t="s">
        <v>105</v>
      </c>
      <c r="D23" t="s">
        <v>47</v>
      </c>
      <c r="E23" t="s">
        <v>81</v>
      </c>
      <c r="F23" t="s">
        <v>86</v>
      </c>
      <c r="G23" t="s">
        <v>70</v>
      </c>
      <c r="H23" t="s">
        <v>84</v>
      </c>
      <c r="I23">
        <v>0</v>
      </c>
      <c r="J23">
        <v>0</v>
      </c>
      <c r="K23">
        <v>1</v>
      </c>
      <c r="L23" t="s">
        <v>72</v>
      </c>
    </row>
    <row r="24" spans="1:12" x14ac:dyDescent="0.35">
      <c r="A24" s="1">
        <v>46024</v>
      </c>
      <c r="B24" t="s">
        <v>80</v>
      </c>
      <c r="C24" t="s">
        <v>106</v>
      </c>
      <c r="D24" t="s">
        <v>57</v>
      </c>
      <c r="E24" t="s">
        <v>81</v>
      </c>
      <c r="F24" t="s">
        <v>86</v>
      </c>
      <c r="G24" t="s">
        <v>55</v>
      </c>
      <c r="H24" t="s">
        <v>84</v>
      </c>
      <c r="I24">
        <v>0</v>
      </c>
      <c r="J24">
        <v>0</v>
      </c>
      <c r="K24">
        <v>4</v>
      </c>
      <c r="L24" t="s">
        <v>72</v>
      </c>
    </row>
    <row r="25" spans="1:12" x14ac:dyDescent="0.35">
      <c r="A25" s="1">
        <v>46024</v>
      </c>
      <c r="B25" t="s">
        <v>80</v>
      </c>
      <c r="C25" t="s">
        <v>107</v>
      </c>
      <c r="D25" t="s">
        <v>34</v>
      </c>
      <c r="E25" t="s">
        <v>81</v>
      </c>
      <c r="F25" t="s">
        <v>86</v>
      </c>
      <c r="G25" t="s">
        <v>55</v>
      </c>
      <c r="H25" t="s">
        <v>84</v>
      </c>
      <c r="I25">
        <v>0</v>
      </c>
      <c r="J25">
        <v>0</v>
      </c>
      <c r="K25">
        <v>1</v>
      </c>
      <c r="L25" t="s">
        <v>72</v>
      </c>
    </row>
    <row r="26" spans="1:12" x14ac:dyDescent="0.35">
      <c r="A26" s="1">
        <v>46024</v>
      </c>
      <c r="B26" t="s">
        <v>80</v>
      </c>
      <c r="C26" t="s">
        <v>27</v>
      </c>
      <c r="D26" t="s">
        <v>38</v>
      </c>
      <c r="E26" t="s">
        <v>81</v>
      </c>
      <c r="F26" t="s">
        <v>86</v>
      </c>
      <c r="G26" t="s">
        <v>55</v>
      </c>
      <c r="H26" t="s">
        <v>82</v>
      </c>
      <c r="I26">
        <v>0</v>
      </c>
      <c r="J26">
        <v>0</v>
      </c>
      <c r="K26">
        <v>2</v>
      </c>
      <c r="L26" t="s">
        <v>72</v>
      </c>
    </row>
    <row r="27" spans="1:12" x14ac:dyDescent="0.35">
      <c r="A27" s="1">
        <v>46024</v>
      </c>
      <c r="B27" t="s">
        <v>80</v>
      </c>
      <c r="C27" t="s">
        <v>109</v>
      </c>
      <c r="D27" t="s">
        <v>39</v>
      </c>
      <c r="E27" t="s">
        <v>91</v>
      </c>
      <c r="F27" t="s">
        <v>86</v>
      </c>
      <c r="G27" t="s">
        <v>70</v>
      </c>
      <c r="H27" t="s">
        <v>84</v>
      </c>
      <c r="I27">
        <v>0</v>
      </c>
      <c r="J27">
        <v>0</v>
      </c>
      <c r="K27">
        <v>0</v>
      </c>
      <c r="L27" t="s">
        <v>72</v>
      </c>
    </row>
    <row r="28" spans="1:12" x14ac:dyDescent="0.35">
      <c r="A28" s="1">
        <v>46024</v>
      </c>
      <c r="B28" t="s">
        <v>80</v>
      </c>
      <c r="C28" t="s">
        <v>110</v>
      </c>
      <c r="D28" t="s">
        <v>65</v>
      </c>
      <c r="E28" t="s">
        <v>81</v>
      </c>
      <c r="F28" t="s">
        <v>86</v>
      </c>
      <c r="G28" t="s">
        <v>68</v>
      </c>
      <c r="H28" t="s">
        <v>84</v>
      </c>
      <c r="I28">
        <v>1</v>
      </c>
      <c r="J28">
        <v>1</v>
      </c>
      <c r="K28">
        <v>2</v>
      </c>
      <c r="L28" t="s">
        <v>72</v>
      </c>
    </row>
    <row r="29" spans="1:12" x14ac:dyDescent="0.35">
      <c r="A29" s="1">
        <v>46024</v>
      </c>
      <c r="B29" t="s">
        <v>80</v>
      </c>
      <c r="C29" t="s">
        <v>111</v>
      </c>
      <c r="D29" t="s">
        <v>57</v>
      </c>
      <c r="E29" t="s">
        <v>81</v>
      </c>
      <c r="F29" t="s">
        <v>86</v>
      </c>
      <c r="G29" t="s">
        <v>55</v>
      </c>
      <c r="H29" t="s">
        <v>84</v>
      </c>
      <c r="I29">
        <v>0</v>
      </c>
      <c r="J29">
        <v>0</v>
      </c>
      <c r="K29">
        <v>4</v>
      </c>
      <c r="L29" t="s">
        <v>72</v>
      </c>
    </row>
    <row r="30" spans="1:12" x14ac:dyDescent="0.35">
      <c r="A30" s="1">
        <v>46024</v>
      </c>
      <c r="B30" t="s">
        <v>80</v>
      </c>
      <c r="C30" t="s">
        <v>112</v>
      </c>
      <c r="D30" t="s">
        <v>59</v>
      </c>
      <c r="E30" t="s">
        <v>81</v>
      </c>
      <c r="F30" t="s">
        <v>86</v>
      </c>
      <c r="G30" t="s">
        <v>55</v>
      </c>
      <c r="H30" t="s">
        <v>84</v>
      </c>
      <c r="I30">
        <v>0</v>
      </c>
      <c r="J30">
        <v>0</v>
      </c>
      <c r="K30">
        <v>0</v>
      </c>
      <c r="L30" t="s">
        <v>72</v>
      </c>
    </row>
    <row r="31" spans="1:12" x14ac:dyDescent="0.35">
      <c r="A31" s="1">
        <v>46024</v>
      </c>
      <c r="B31" t="s">
        <v>80</v>
      </c>
      <c r="C31" t="s">
        <v>114</v>
      </c>
      <c r="D31" t="s">
        <v>50</v>
      </c>
      <c r="E31" t="s">
        <v>91</v>
      </c>
      <c r="F31" t="s">
        <v>86</v>
      </c>
      <c r="G31" t="s">
        <v>70</v>
      </c>
      <c r="H31" t="s">
        <v>84</v>
      </c>
      <c r="I31">
        <v>1</v>
      </c>
      <c r="J31">
        <v>1</v>
      </c>
      <c r="K31">
        <v>2</v>
      </c>
      <c r="L31" t="s">
        <v>72</v>
      </c>
    </row>
    <row r="32" spans="1:12" x14ac:dyDescent="0.35">
      <c r="A32" s="1">
        <v>46024</v>
      </c>
      <c r="B32" t="s">
        <v>80</v>
      </c>
      <c r="C32" t="s">
        <v>115</v>
      </c>
      <c r="D32" t="s">
        <v>61</v>
      </c>
      <c r="E32" t="s">
        <v>81</v>
      </c>
      <c r="F32" t="s">
        <v>86</v>
      </c>
      <c r="G32" t="s">
        <v>70</v>
      </c>
      <c r="H32" t="s">
        <v>84</v>
      </c>
      <c r="I32">
        <v>0</v>
      </c>
      <c r="J32">
        <v>0</v>
      </c>
      <c r="K32">
        <v>0</v>
      </c>
      <c r="L32" t="s">
        <v>72</v>
      </c>
    </row>
    <row r="33" spans="1:12" x14ac:dyDescent="0.35">
      <c r="A33" s="1">
        <v>46024</v>
      </c>
      <c r="B33" t="s">
        <v>80</v>
      </c>
      <c r="C33" t="s">
        <v>116</v>
      </c>
      <c r="D33" t="s">
        <v>30</v>
      </c>
      <c r="E33" t="s">
        <v>81</v>
      </c>
      <c r="F33" t="s">
        <v>42</v>
      </c>
      <c r="G33" t="s">
        <v>26</v>
      </c>
      <c r="H33" t="s">
        <v>84</v>
      </c>
      <c r="I33">
        <v>0</v>
      </c>
      <c r="J33">
        <v>0</v>
      </c>
      <c r="K33">
        <v>2</v>
      </c>
      <c r="L33" t="s">
        <v>72</v>
      </c>
    </row>
    <row r="34" spans="1:12" x14ac:dyDescent="0.35">
      <c r="A34" s="1">
        <v>46024</v>
      </c>
      <c r="B34" t="s">
        <v>80</v>
      </c>
      <c r="C34" t="s">
        <v>56</v>
      </c>
      <c r="D34" t="s">
        <v>61</v>
      </c>
      <c r="E34" t="s">
        <v>81</v>
      </c>
      <c r="F34" t="s">
        <v>86</v>
      </c>
      <c r="G34" t="s">
        <v>70</v>
      </c>
      <c r="H34" t="s">
        <v>82</v>
      </c>
      <c r="I34">
        <v>0</v>
      </c>
      <c r="J34">
        <v>0</v>
      </c>
      <c r="K34">
        <v>0</v>
      </c>
      <c r="L34" t="s">
        <v>72</v>
      </c>
    </row>
    <row r="35" spans="1:12" x14ac:dyDescent="0.35">
      <c r="A35" s="1">
        <v>46024</v>
      </c>
      <c r="B35" t="s">
        <v>80</v>
      </c>
      <c r="C35" t="s">
        <v>117</v>
      </c>
      <c r="D35" t="s">
        <v>63</v>
      </c>
      <c r="E35" t="s">
        <v>81</v>
      </c>
      <c r="F35" t="s">
        <v>86</v>
      </c>
      <c r="G35" t="s">
        <v>70</v>
      </c>
      <c r="H35" t="s">
        <v>84</v>
      </c>
      <c r="I35">
        <v>1</v>
      </c>
      <c r="J35">
        <v>1</v>
      </c>
      <c r="K35">
        <v>1</v>
      </c>
      <c r="L35" t="s">
        <v>72</v>
      </c>
    </row>
    <row r="36" spans="1:12" x14ac:dyDescent="0.35">
      <c r="A36" s="1">
        <v>46024</v>
      </c>
      <c r="B36" t="s">
        <v>80</v>
      </c>
      <c r="C36" t="s">
        <v>118</v>
      </c>
      <c r="D36" t="s">
        <v>47</v>
      </c>
      <c r="E36" t="s">
        <v>81</v>
      </c>
      <c r="F36" t="s">
        <v>86</v>
      </c>
      <c r="G36" t="s">
        <v>70</v>
      </c>
      <c r="H36" t="s">
        <v>84</v>
      </c>
      <c r="I36">
        <v>0</v>
      </c>
      <c r="J36">
        <v>0</v>
      </c>
      <c r="K36">
        <v>0</v>
      </c>
      <c r="L36" t="s">
        <v>72</v>
      </c>
    </row>
    <row r="37" spans="1:12" x14ac:dyDescent="0.35">
      <c r="A37" s="1">
        <v>46024</v>
      </c>
      <c r="B37" t="s">
        <v>80</v>
      </c>
      <c r="C37" t="s">
        <v>119</v>
      </c>
      <c r="D37" t="s">
        <v>49</v>
      </c>
      <c r="E37" t="s">
        <v>81</v>
      </c>
      <c r="F37" t="s">
        <v>86</v>
      </c>
      <c r="G37" t="s">
        <v>70</v>
      </c>
      <c r="H37" t="s">
        <v>84</v>
      </c>
      <c r="I37">
        <v>1</v>
      </c>
      <c r="J37">
        <v>1</v>
      </c>
      <c r="K37">
        <v>1</v>
      </c>
      <c r="L37" t="s">
        <v>72</v>
      </c>
    </row>
    <row r="38" spans="1:12" x14ac:dyDescent="0.35">
      <c r="A38" s="1">
        <v>46024</v>
      </c>
      <c r="B38" t="s">
        <v>80</v>
      </c>
      <c r="C38" t="s">
        <v>120</v>
      </c>
      <c r="D38" t="s">
        <v>68</v>
      </c>
      <c r="E38" t="s">
        <v>81</v>
      </c>
      <c r="F38" t="s">
        <v>86</v>
      </c>
      <c r="G38" t="s">
        <v>68</v>
      </c>
      <c r="H38" t="s">
        <v>84</v>
      </c>
      <c r="I38">
        <v>0</v>
      </c>
      <c r="J38">
        <v>0</v>
      </c>
      <c r="K38">
        <v>0</v>
      </c>
      <c r="L38" t="s">
        <v>72</v>
      </c>
    </row>
    <row r="39" spans="1:12" x14ac:dyDescent="0.35">
      <c r="A39" s="1">
        <v>46024</v>
      </c>
      <c r="B39" t="s">
        <v>80</v>
      </c>
      <c r="C39" t="s">
        <v>54</v>
      </c>
      <c r="D39" t="s">
        <v>60</v>
      </c>
      <c r="E39" t="s">
        <v>83</v>
      </c>
      <c r="F39" t="s">
        <v>86</v>
      </c>
      <c r="G39" t="s">
        <v>60</v>
      </c>
      <c r="H39" t="s">
        <v>82</v>
      </c>
      <c r="I39">
        <v>2</v>
      </c>
      <c r="J39">
        <v>1</v>
      </c>
      <c r="K39">
        <v>3</v>
      </c>
      <c r="L39" t="s">
        <v>72</v>
      </c>
    </row>
    <row r="40" spans="1:12" x14ac:dyDescent="0.35">
      <c r="A40" s="1">
        <v>46024</v>
      </c>
      <c r="B40" t="s">
        <v>80</v>
      </c>
      <c r="C40" t="s">
        <v>121</v>
      </c>
      <c r="D40" t="s">
        <v>52</v>
      </c>
      <c r="E40" t="s">
        <v>81</v>
      </c>
      <c r="F40" t="s">
        <v>86</v>
      </c>
      <c r="G40" t="s">
        <v>70</v>
      </c>
      <c r="H40" t="s">
        <v>84</v>
      </c>
      <c r="I40">
        <v>1</v>
      </c>
      <c r="J40">
        <v>1</v>
      </c>
      <c r="K40">
        <v>1</v>
      </c>
      <c r="L40" t="s">
        <v>72</v>
      </c>
    </row>
    <row r="41" spans="1:12" x14ac:dyDescent="0.35">
      <c r="A41" s="1">
        <v>46024</v>
      </c>
      <c r="B41" t="s">
        <v>80</v>
      </c>
      <c r="C41" t="s">
        <v>122</v>
      </c>
      <c r="D41" t="s">
        <v>54</v>
      </c>
      <c r="E41" t="s">
        <v>83</v>
      </c>
      <c r="F41" t="s">
        <v>86</v>
      </c>
      <c r="G41" t="s">
        <v>60</v>
      </c>
      <c r="H41" t="s">
        <v>84</v>
      </c>
      <c r="I41">
        <v>1</v>
      </c>
      <c r="J41">
        <v>1</v>
      </c>
      <c r="K41">
        <v>2</v>
      </c>
      <c r="L41" t="s">
        <v>72</v>
      </c>
    </row>
    <row r="42" spans="1:12" x14ac:dyDescent="0.35">
      <c r="A42" s="1">
        <v>46024</v>
      </c>
      <c r="B42" t="s">
        <v>80</v>
      </c>
      <c r="C42" t="s">
        <v>45</v>
      </c>
      <c r="D42" t="s">
        <v>70</v>
      </c>
      <c r="E42" t="s">
        <v>81</v>
      </c>
      <c r="F42" t="s">
        <v>86</v>
      </c>
      <c r="G42" t="s">
        <v>70</v>
      </c>
      <c r="H42" t="s">
        <v>82</v>
      </c>
      <c r="I42">
        <v>0</v>
      </c>
      <c r="J42">
        <v>0</v>
      </c>
      <c r="K42">
        <v>1</v>
      </c>
      <c r="L42" t="s">
        <v>72</v>
      </c>
    </row>
    <row r="43" spans="1:12" x14ac:dyDescent="0.35">
      <c r="A43" s="1">
        <v>46024</v>
      </c>
      <c r="B43" t="s">
        <v>80</v>
      </c>
      <c r="C43" t="s">
        <v>123</v>
      </c>
      <c r="D43" t="s">
        <v>56</v>
      </c>
      <c r="E43" t="s">
        <v>81</v>
      </c>
      <c r="F43" t="s">
        <v>86</v>
      </c>
      <c r="G43" t="s">
        <v>70</v>
      </c>
      <c r="H43" t="s">
        <v>84</v>
      </c>
      <c r="I43">
        <v>0</v>
      </c>
      <c r="J43">
        <v>0</v>
      </c>
      <c r="K43">
        <v>1</v>
      </c>
      <c r="L43" t="s">
        <v>72</v>
      </c>
    </row>
    <row r="44" spans="1:12" x14ac:dyDescent="0.35">
      <c r="A44" s="1">
        <v>46024</v>
      </c>
      <c r="B44" t="s">
        <v>80</v>
      </c>
      <c r="C44" t="s">
        <v>46</v>
      </c>
      <c r="D44" t="s">
        <v>55</v>
      </c>
      <c r="E44" t="s">
        <v>83</v>
      </c>
      <c r="F44" t="s">
        <v>86</v>
      </c>
      <c r="G44" t="s">
        <v>55</v>
      </c>
      <c r="H44" t="s">
        <v>82</v>
      </c>
      <c r="I44">
        <v>0</v>
      </c>
      <c r="J44">
        <v>0</v>
      </c>
      <c r="K44">
        <v>0</v>
      </c>
      <c r="L44" t="s">
        <v>72</v>
      </c>
    </row>
    <row r="45" spans="1:12" x14ac:dyDescent="0.35">
      <c r="A45" s="1">
        <v>46024</v>
      </c>
      <c r="B45" t="s">
        <v>80</v>
      </c>
      <c r="C45" t="s">
        <v>124</v>
      </c>
      <c r="D45" t="s">
        <v>48</v>
      </c>
      <c r="E45" t="s">
        <v>81</v>
      </c>
      <c r="F45" t="s">
        <v>86</v>
      </c>
      <c r="G45" t="s">
        <v>55</v>
      </c>
      <c r="H45" t="s">
        <v>84</v>
      </c>
      <c r="I45">
        <v>1</v>
      </c>
      <c r="J45">
        <v>1</v>
      </c>
      <c r="K45">
        <v>1</v>
      </c>
      <c r="L45" t="s">
        <v>72</v>
      </c>
    </row>
    <row r="46" spans="1:12" x14ac:dyDescent="0.35">
      <c r="A46" s="1">
        <v>46024</v>
      </c>
      <c r="B46" t="s">
        <v>80</v>
      </c>
      <c r="C46" t="s">
        <v>125</v>
      </c>
      <c r="D46" t="s">
        <v>35</v>
      </c>
      <c r="E46" t="s">
        <v>91</v>
      </c>
      <c r="F46" t="s">
        <v>42</v>
      </c>
      <c r="G46" t="s">
        <v>42</v>
      </c>
      <c r="H46" t="s">
        <v>84</v>
      </c>
      <c r="I46">
        <v>0</v>
      </c>
      <c r="J46">
        <v>0</v>
      </c>
      <c r="K46">
        <v>4</v>
      </c>
      <c r="L46" t="s">
        <v>72</v>
      </c>
    </row>
    <row r="47" spans="1:12" x14ac:dyDescent="0.35">
      <c r="A47" s="1">
        <v>46024</v>
      </c>
      <c r="B47" t="s">
        <v>80</v>
      </c>
      <c r="C47" t="s">
        <v>126</v>
      </c>
      <c r="D47" t="s">
        <v>68</v>
      </c>
      <c r="E47" t="s">
        <v>81</v>
      </c>
      <c r="F47" t="s">
        <v>86</v>
      </c>
      <c r="G47" t="s">
        <v>68</v>
      </c>
      <c r="H47" t="s">
        <v>84</v>
      </c>
      <c r="I47">
        <v>0</v>
      </c>
      <c r="J47">
        <v>0</v>
      </c>
      <c r="K47">
        <v>0</v>
      </c>
      <c r="L47" t="s">
        <v>72</v>
      </c>
    </row>
    <row r="48" spans="1:12" x14ac:dyDescent="0.35">
      <c r="A48" s="1">
        <v>46024</v>
      </c>
      <c r="B48" t="s">
        <v>80</v>
      </c>
      <c r="C48" t="s">
        <v>127</v>
      </c>
      <c r="D48" t="s">
        <v>59</v>
      </c>
      <c r="E48" t="s">
        <v>81</v>
      </c>
      <c r="F48" t="s">
        <v>86</v>
      </c>
      <c r="G48" t="s">
        <v>55</v>
      </c>
      <c r="H48" t="s">
        <v>84</v>
      </c>
      <c r="I48">
        <v>0</v>
      </c>
      <c r="J48">
        <v>0</v>
      </c>
      <c r="K48">
        <v>0</v>
      </c>
      <c r="L48" t="s">
        <v>72</v>
      </c>
    </row>
    <row r="49" spans="1:12" x14ac:dyDescent="0.35">
      <c r="A49" s="1">
        <v>46024</v>
      </c>
      <c r="B49" t="s">
        <v>80</v>
      </c>
      <c r="C49" t="s">
        <v>128</v>
      </c>
      <c r="D49" t="s">
        <v>49</v>
      </c>
      <c r="E49" t="s">
        <v>81</v>
      </c>
      <c r="F49" t="s">
        <v>86</v>
      </c>
      <c r="G49" t="s">
        <v>70</v>
      </c>
      <c r="H49" t="s">
        <v>84</v>
      </c>
      <c r="I49">
        <v>1</v>
      </c>
      <c r="J49">
        <v>1</v>
      </c>
      <c r="K49">
        <v>1</v>
      </c>
      <c r="L49" t="s">
        <v>72</v>
      </c>
    </row>
    <row r="50" spans="1:12" x14ac:dyDescent="0.35">
      <c r="A50" s="1">
        <v>46024</v>
      </c>
      <c r="B50" t="s">
        <v>80</v>
      </c>
      <c r="C50" t="s">
        <v>129</v>
      </c>
      <c r="D50" t="s">
        <v>63</v>
      </c>
      <c r="E50" t="s">
        <v>81</v>
      </c>
      <c r="F50" t="s">
        <v>86</v>
      </c>
      <c r="G50" t="s">
        <v>70</v>
      </c>
      <c r="H50" t="s">
        <v>84</v>
      </c>
      <c r="I50">
        <v>1</v>
      </c>
      <c r="J50">
        <v>1</v>
      </c>
      <c r="K50">
        <v>1</v>
      </c>
      <c r="L50" t="s">
        <v>72</v>
      </c>
    </row>
    <row r="51" spans="1:12" x14ac:dyDescent="0.35">
      <c r="A51" s="1">
        <v>46024</v>
      </c>
      <c r="B51" t="s">
        <v>80</v>
      </c>
      <c r="C51" t="s">
        <v>130</v>
      </c>
      <c r="D51" t="s">
        <v>33</v>
      </c>
      <c r="E51" t="s">
        <v>81</v>
      </c>
      <c r="F51" t="s">
        <v>86</v>
      </c>
      <c r="G51" t="s">
        <v>55</v>
      </c>
      <c r="H51" t="s">
        <v>84</v>
      </c>
      <c r="I51">
        <v>1</v>
      </c>
      <c r="J51">
        <v>1</v>
      </c>
      <c r="K51">
        <v>2</v>
      </c>
      <c r="L51" t="s">
        <v>72</v>
      </c>
    </row>
    <row r="52" spans="1:12" x14ac:dyDescent="0.35">
      <c r="A52" s="1">
        <v>46024</v>
      </c>
      <c r="B52" t="s">
        <v>80</v>
      </c>
      <c r="C52" t="s">
        <v>131</v>
      </c>
      <c r="D52" t="s">
        <v>29</v>
      </c>
      <c r="E52" t="s">
        <v>83</v>
      </c>
      <c r="F52" t="s">
        <v>86</v>
      </c>
      <c r="G52" t="s">
        <v>60</v>
      </c>
      <c r="H52" t="s">
        <v>84</v>
      </c>
      <c r="I52">
        <v>2</v>
      </c>
      <c r="J52">
        <v>1</v>
      </c>
      <c r="K52">
        <v>5</v>
      </c>
      <c r="L52" t="s">
        <v>72</v>
      </c>
    </row>
    <row r="53" spans="1:12" x14ac:dyDescent="0.35">
      <c r="A53" s="1">
        <v>46024</v>
      </c>
      <c r="B53" t="s">
        <v>80</v>
      </c>
      <c r="C53" t="s">
        <v>132</v>
      </c>
      <c r="D53" t="s">
        <v>66</v>
      </c>
      <c r="E53" t="s">
        <v>81</v>
      </c>
      <c r="F53" t="s">
        <v>86</v>
      </c>
      <c r="G53" t="s">
        <v>70</v>
      </c>
      <c r="H53" t="s">
        <v>84</v>
      </c>
      <c r="I53">
        <v>0</v>
      </c>
      <c r="J53">
        <v>0</v>
      </c>
      <c r="K53">
        <v>1</v>
      </c>
      <c r="L53" t="s">
        <v>72</v>
      </c>
    </row>
    <row r="54" spans="1:12" x14ac:dyDescent="0.35">
      <c r="A54" s="1">
        <v>46024</v>
      </c>
      <c r="B54" t="s">
        <v>80</v>
      </c>
      <c r="C54" t="s">
        <v>51</v>
      </c>
      <c r="D54" t="s">
        <v>28</v>
      </c>
      <c r="E54" t="s">
        <v>81</v>
      </c>
      <c r="F54" t="s">
        <v>86</v>
      </c>
      <c r="G54" t="s">
        <v>70</v>
      </c>
      <c r="H54" t="s">
        <v>82</v>
      </c>
      <c r="I54">
        <v>0</v>
      </c>
      <c r="J54">
        <v>0</v>
      </c>
      <c r="K54">
        <v>1</v>
      </c>
      <c r="L54" t="s">
        <v>72</v>
      </c>
    </row>
    <row r="55" spans="1:12" x14ac:dyDescent="0.35">
      <c r="A55" s="1">
        <v>46024</v>
      </c>
      <c r="B55" t="s">
        <v>80</v>
      </c>
      <c r="C55" t="s">
        <v>133</v>
      </c>
      <c r="D55" t="s">
        <v>39</v>
      </c>
      <c r="E55" t="s">
        <v>91</v>
      </c>
      <c r="F55" t="s">
        <v>86</v>
      </c>
      <c r="G55" t="s">
        <v>70</v>
      </c>
      <c r="H55" t="s">
        <v>84</v>
      </c>
      <c r="I55">
        <v>0</v>
      </c>
      <c r="J55">
        <v>0</v>
      </c>
      <c r="K55">
        <v>0</v>
      </c>
      <c r="L55" t="s">
        <v>72</v>
      </c>
    </row>
    <row r="56" spans="1:12" x14ac:dyDescent="0.35">
      <c r="A56" s="1">
        <v>46024</v>
      </c>
      <c r="B56" t="s">
        <v>80</v>
      </c>
      <c r="C56" t="s">
        <v>69</v>
      </c>
      <c r="D56" t="s">
        <v>38</v>
      </c>
      <c r="E56" t="s">
        <v>81</v>
      </c>
      <c r="F56" t="s">
        <v>86</v>
      </c>
      <c r="G56" t="s">
        <v>55</v>
      </c>
      <c r="H56" t="s">
        <v>82</v>
      </c>
      <c r="I56">
        <v>0</v>
      </c>
      <c r="J56">
        <v>0</v>
      </c>
      <c r="K56">
        <v>2</v>
      </c>
      <c r="L56" t="s">
        <v>72</v>
      </c>
    </row>
    <row r="57" spans="1:12" x14ac:dyDescent="0.35">
      <c r="A57" s="1">
        <v>46024</v>
      </c>
      <c r="B57" t="s">
        <v>80</v>
      </c>
      <c r="C57" t="s">
        <v>134</v>
      </c>
      <c r="D57" t="s">
        <v>49</v>
      </c>
      <c r="E57" t="s">
        <v>81</v>
      </c>
      <c r="F57" t="s">
        <v>86</v>
      </c>
      <c r="G57" t="s">
        <v>70</v>
      </c>
      <c r="H57" t="s">
        <v>84</v>
      </c>
      <c r="I57">
        <v>1</v>
      </c>
      <c r="J57">
        <v>1</v>
      </c>
      <c r="K57">
        <v>1</v>
      </c>
      <c r="L57" t="s">
        <v>72</v>
      </c>
    </row>
    <row r="58" spans="1:12" x14ac:dyDescent="0.35">
      <c r="A58" s="1">
        <v>46024</v>
      </c>
      <c r="B58" t="s">
        <v>80</v>
      </c>
      <c r="C58" t="s">
        <v>135</v>
      </c>
      <c r="D58" t="s">
        <v>64</v>
      </c>
      <c r="E58" t="s">
        <v>83</v>
      </c>
      <c r="F58" t="s">
        <v>86</v>
      </c>
      <c r="G58" t="s">
        <v>60</v>
      </c>
      <c r="H58" t="s">
        <v>84</v>
      </c>
      <c r="I58">
        <v>0</v>
      </c>
      <c r="J58">
        <v>0</v>
      </c>
      <c r="K58">
        <v>0</v>
      </c>
      <c r="L58" t="s">
        <v>72</v>
      </c>
    </row>
    <row r="59" spans="1:12" x14ac:dyDescent="0.35">
      <c r="A59" s="1">
        <v>46024</v>
      </c>
      <c r="B59" t="s">
        <v>80</v>
      </c>
      <c r="C59" t="s">
        <v>136</v>
      </c>
      <c r="D59" t="s">
        <v>52</v>
      </c>
      <c r="E59" t="s">
        <v>81</v>
      </c>
      <c r="F59" t="s">
        <v>86</v>
      </c>
      <c r="G59" t="s">
        <v>70</v>
      </c>
      <c r="H59" t="s">
        <v>84</v>
      </c>
      <c r="I59">
        <v>1</v>
      </c>
      <c r="J59">
        <v>1</v>
      </c>
      <c r="K59">
        <v>1</v>
      </c>
      <c r="L59" t="s">
        <v>72</v>
      </c>
    </row>
    <row r="60" spans="1:12" x14ac:dyDescent="0.35">
      <c r="A60" s="1">
        <v>46024</v>
      </c>
      <c r="B60" t="s">
        <v>80</v>
      </c>
      <c r="C60" t="s">
        <v>137</v>
      </c>
      <c r="D60" t="s">
        <v>51</v>
      </c>
      <c r="E60" t="s">
        <v>81</v>
      </c>
      <c r="F60" t="s">
        <v>86</v>
      </c>
      <c r="G60" t="s">
        <v>70</v>
      </c>
      <c r="H60" t="s">
        <v>84</v>
      </c>
      <c r="I60">
        <v>1</v>
      </c>
      <c r="J60">
        <v>1</v>
      </c>
      <c r="K60">
        <v>1</v>
      </c>
      <c r="L60" t="s">
        <v>72</v>
      </c>
    </row>
    <row r="61" spans="1:12" x14ac:dyDescent="0.35">
      <c r="A61" s="1">
        <v>46024</v>
      </c>
      <c r="B61" t="s">
        <v>80</v>
      </c>
      <c r="C61" t="s">
        <v>26</v>
      </c>
      <c r="D61" t="s">
        <v>42</v>
      </c>
      <c r="E61" t="s">
        <v>81</v>
      </c>
      <c r="F61" t="s">
        <v>42</v>
      </c>
      <c r="G61" t="s">
        <v>42</v>
      </c>
      <c r="H61" t="s">
        <v>82</v>
      </c>
      <c r="I61">
        <v>4</v>
      </c>
      <c r="J61">
        <v>1</v>
      </c>
      <c r="K61">
        <v>4</v>
      </c>
      <c r="L61" t="s">
        <v>72</v>
      </c>
    </row>
    <row r="62" spans="1:12" x14ac:dyDescent="0.35">
      <c r="A62" s="1">
        <v>46024</v>
      </c>
      <c r="B62" t="s">
        <v>80</v>
      </c>
      <c r="C62" t="s">
        <v>138</v>
      </c>
      <c r="D62" t="s">
        <v>67</v>
      </c>
      <c r="E62" t="s">
        <v>81</v>
      </c>
      <c r="F62" t="s">
        <v>86</v>
      </c>
      <c r="G62" t="s">
        <v>70</v>
      </c>
      <c r="H62" t="s">
        <v>84</v>
      </c>
      <c r="I62">
        <v>0</v>
      </c>
      <c r="J62">
        <v>0</v>
      </c>
      <c r="K62">
        <v>1</v>
      </c>
      <c r="L62" t="s">
        <v>72</v>
      </c>
    </row>
    <row r="63" spans="1:12" x14ac:dyDescent="0.35">
      <c r="A63" s="1">
        <v>46024</v>
      </c>
      <c r="B63" t="s">
        <v>80</v>
      </c>
      <c r="C63" t="s">
        <v>139</v>
      </c>
      <c r="D63" t="s">
        <v>43</v>
      </c>
      <c r="E63" t="s">
        <v>81</v>
      </c>
      <c r="F63" t="s">
        <v>86</v>
      </c>
      <c r="G63" t="s">
        <v>70</v>
      </c>
      <c r="H63" t="s">
        <v>84</v>
      </c>
      <c r="I63">
        <v>1</v>
      </c>
      <c r="J63">
        <v>1</v>
      </c>
      <c r="K63">
        <v>1</v>
      </c>
      <c r="L63" t="s">
        <v>72</v>
      </c>
    </row>
    <row r="64" spans="1:12" x14ac:dyDescent="0.35">
      <c r="A64" s="1">
        <v>46024</v>
      </c>
      <c r="B64" t="s">
        <v>80</v>
      </c>
      <c r="C64" t="s">
        <v>140</v>
      </c>
      <c r="D64" t="s">
        <v>53</v>
      </c>
      <c r="E64" t="s">
        <v>91</v>
      </c>
      <c r="F64" t="s">
        <v>86</v>
      </c>
      <c r="G64" t="s">
        <v>70</v>
      </c>
      <c r="H64" t="s">
        <v>84</v>
      </c>
      <c r="I64">
        <v>0</v>
      </c>
      <c r="J64">
        <v>0</v>
      </c>
      <c r="K64">
        <v>2</v>
      </c>
      <c r="L64" t="s">
        <v>72</v>
      </c>
    </row>
    <row r="65" spans="1:12" x14ac:dyDescent="0.35">
      <c r="A65" s="1">
        <v>46024</v>
      </c>
      <c r="B65" t="s">
        <v>80</v>
      </c>
      <c r="C65" t="s">
        <v>141</v>
      </c>
      <c r="D65" t="s">
        <v>64</v>
      </c>
      <c r="E65" t="s">
        <v>83</v>
      </c>
      <c r="F65" t="s">
        <v>86</v>
      </c>
      <c r="G65" t="s">
        <v>60</v>
      </c>
      <c r="H65" t="s">
        <v>84</v>
      </c>
      <c r="I65">
        <v>0</v>
      </c>
      <c r="J65">
        <v>0</v>
      </c>
      <c r="K65">
        <v>2</v>
      </c>
      <c r="L65" t="s">
        <v>72</v>
      </c>
    </row>
    <row r="66" spans="1:12" x14ac:dyDescent="0.35">
      <c r="A66" s="1">
        <v>46024</v>
      </c>
      <c r="B66" t="s">
        <v>80</v>
      </c>
      <c r="C66" t="s">
        <v>142</v>
      </c>
      <c r="D66" t="s">
        <v>67</v>
      </c>
      <c r="E66" t="s">
        <v>81</v>
      </c>
      <c r="F66" t="s">
        <v>86</v>
      </c>
      <c r="G66" t="s">
        <v>70</v>
      </c>
      <c r="H66" t="s">
        <v>84</v>
      </c>
      <c r="I66">
        <v>0</v>
      </c>
      <c r="J66">
        <v>0</v>
      </c>
      <c r="K66">
        <v>0</v>
      </c>
      <c r="L66" t="s">
        <v>72</v>
      </c>
    </row>
    <row r="67" spans="1:12" x14ac:dyDescent="0.35">
      <c r="A67" s="1">
        <v>46024</v>
      </c>
      <c r="B67" t="s">
        <v>80</v>
      </c>
      <c r="C67" t="s">
        <v>143</v>
      </c>
      <c r="D67" t="s">
        <v>37</v>
      </c>
      <c r="E67" t="s">
        <v>81</v>
      </c>
      <c r="F67" t="s">
        <v>86</v>
      </c>
      <c r="G67" t="s">
        <v>70</v>
      </c>
      <c r="H67" t="s">
        <v>84</v>
      </c>
      <c r="I67">
        <v>1</v>
      </c>
      <c r="J67">
        <v>1</v>
      </c>
      <c r="K67">
        <v>1</v>
      </c>
      <c r="L67" t="s">
        <v>72</v>
      </c>
    </row>
    <row r="68" spans="1:12" x14ac:dyDescent="0.35">
      <c r="A68" s="1">
        <v>46024</v>
      </c>
      <c r="B68" t="s">
        <v>80</v>
      </c>
      <c r="C68" t="s">
        <v>144</v>
      </c>
      <c r="D68" t="s">
        <v>49</v>
      </c>
      <c r="E68" t="s">
        <v>81</v>
      </c>
      <c r="F68" t="s">
        <v>86</v>
      </c>
      <c r="G68" t="s">
        <v>70</v>
      </c>
      <c r="H68" t="s">
        <v>84</v>
      </c>
      <c r="I68">
        <v>1</v>
      </c>
      <c r="J68">
        <v>1</v>
      </c>
      <c r="K68">
        <v>1</v>
      </c>
      <c r="L68" t="s">
        <v>72</v>
      </c>
    </row>
    <row r="69" spans="1:12" x14ac:dyDescent="0.35">
      <c r="A69" s="1">
        <v>46024</v>
      </c>
      <c r="B69" t="s">
        <v>80</v>
      </c>
      <c r="C69" t="s">
        <v>145</v>
      </c>
      <c r="D69" t="s">
        <v>43</v>
      </c>
      <c r="E69" t="s">
        <v>81</v>
      </c>
      <c r="F69" t="s">
        <v>86</v>
      </c>
      <c r="G69" t="s">
        <v>70</v>
      </c>
      <c r="H69" t="s">
        <v>84</v>
      </c>
      <c r="I69">
        <v>1</v>
      </c>
      <c r="J69">
        <v>1</v>
      </c>
      <c r="K69">
        <v>3</v>
      </c>
      <c r="L69" t="s">
        <v>72</v>
      </c>
    </row>
    <row r="70" spans="1:12" x14ac:dyDescent="0.35">
      <c r="A70" s="1">
        <v>46024</v>
      </c>
      <c r="B70" t="s">
        <v>80</v>
      </c>
      <c r="C70" t="s">
        <v>146</v>
      </c>
      <c r="D70" t="s">
        <v>59</v>
      </c>
      <c r="E70" t="s">
        <v>81</v>
      </c>
      <c r="F70" t="s">
        <v>86</v>
      </c>
      <c r="G70" t="s">
        <v>55</v>
      </c>
      <c r="H70" t="s">
        <v>84</v>
      </c>
      <c r="I70">
        <v>0</v>
      </c>
      <c r="J70">
        <v>0</v>
      </c>
      <c r="K70">
        <v>0</v>
      </c>
      <c r="L70" t="s">
        <v>72</v>
      </c>
    </row>
    <row r="71" spans="1:12" x14ac:dyDescent="0.35">
      <c r="A71" s="1">
        <v>46024</v>
      </c>
      <c r="B71" t="s">
        <v>80</v>
      </c>
      <c r="C71" t="s">
        <v>147</v>
      </c>
      <c r="D71" t="s">
        <v>62</v>
      </c>
      <c r="E71" t="s">
        <v>81</v>
      </c>
      <c r="F71" t="s">
        <v>86</v>
      </c>
      <c r="G71" t="s">
        <v>55</v>
      </c>
      <c r="H71" t="s">
        <v>84</v>
      </c>
      <c r="I71">
        <v>0</v>
      </c>
      <c r="J71">
        <v>0</v>
      </c>
      <c r="K71">
        <v>0</v>
      </c>
      <c r="L71" t="s">
        <v>72</v>
      </c>
    </row>
    <row r="72" spans="1:12" x14ac:dyDescent="0.35">
      <c r="A72" s="1">
        <v>46024</v>
      </c>
      <c r="B72" t="s">
        <v>80</v>
      </c>
      <c r="C72" t="s">
        <v>53</v>
      </c>
      <c r="D72" t="s">
        <v>39</v>
      </c>
      <c r="E72" t="s">
        <v>91</v>
      </c>
      <c r="F72" t="s">
        <v>86</v>
      </c>
      <c r="G72" t="s">
        <v>70</v>
      </c>
      <c r="H72" t="s">
        <v>82</v>
      </c>
      <c r="I72">
        <v>0</v>
      </c>
      <c r="J72">
        <v>0</v>
      </c>
      <c r="K72">
        <v>0</v>
      </c>
      <c r="L72" t="s">
        <v>72</v>
      </c>
    </row>
    <row r="73" spans="1:12" x14ac:dyDescent="0.35">
      <c r="A73" s="1">
        <v>46024</v>
      </c>
      <c r="B73" t="s">
        <v>80</v>
      </c>
      <c r="C73" t="s">
        <v>148</v>
      </c>
      <c r="D73" t="s">
        <v>58</v>
      </c>
      <c r="E73" t="s">
        <v>81</v>
      </c>
      <c r="F73" t="s">
        <v>86</v>
      </c>
      <c r="G73" t="s">
        <v>70</v>
      </c>
      <c r="H73" t="s">
        <v>84</v>
      </c>
      <c r="I73">
        <v>2</v>
      </c>
      <c r="J73">
        <v>1</v>
      </c>
      <c r="K73">
        <v>2</v>
      </c>
      <c r="L73" t="s">
        <v>72</v>
      </c>
    </row>
    <row r="74" spans="1:12" x14ac:dyDescent="0.35">
      <c r="A74" s="1">
        <v>46024</v>
      </c>
      <c r="B74" t="s">
        <v>80</v>
      </c>
      <c r="C74" t="s">
        <v>149</v>
      </c>
      <c r="D74" t="s">
        <v>40</v>
      </c>
      <c r="E74" t="s">
        <v>81</v>
      </c>
      <c r="F74" t="s">
        <v>42</v>
      </c>
      <c r="G74" t="s">
        <v>42</v>
      </c>
      <c r="H74" t="s">
        <v>84</v>
      </c>
      <c r="I74">
        <v>0</v>
      </c>
      <c r="J74">
        <v>0</v>
      </c>
      <c r="K74">
        <v>2</v>
      </c>
      <c r="L74" t="s">
        <v>72</v>
      </c>
    </row>
    <row r="75" spans="1:12" x14ac:dyDescent="0.35">
      <c r="A75" s="1">
        <v>46024</v>
      </c>
      <c r="B75" t="s">
        <v>80</v>
      </c>
      <c r="C75" t="s">
        <v>150</v>
      </c>
      <c r="D75" t="s">
        <v>68</v>
      </c>
      <c r="E75" t="s">
        <v>81</v>
      </c>
      <c r="F75" t="s">
        <v>86</v>
      </c>
      <c r="G75" t="s">
        <v>68</v>
      </c>
      <c r="H75" t="s">
        <v>84</v>
      </c>
      <c r="I75">
        <v>0</v>
      </c>
      <c r="J75">
        <v>0</v>
      </c>
      <c r="K75">
        <v>0</v>
      </c>
      <c r="L75" t="s">
        <v>72</v>
      </c>
    </row>
    <row r="76" spans="1:12" x14ac:dyDescent="0.35">
      <c r="A76" s="1">
        <v>46024</v>
      </c>
      <c r="B76" t="s">
        <v>80</v>
      </c>
      <c r="C76" t="s">
        <v>151</v>
      </c>
      <c r="D76" t="s">
        <v>47</v>
      </c>
      <c r="E76" t="s">
        <v>81</v>
      </c>
      <c r="F76" t="s">
        <v>86</v>
      </c>
      <c r="G76" t="s">
        <v>70</v>
      </c>
      <c r="H76" t="s">
        <v>84</v>
      </c>
      <c r="I76">
        <v>0</v>
      </c>
      <c r="J76">
        <v>0</v>
      </c>
      <c r="K76">
        <v>1</v>
      </c>
      <c r="L76" t="s">
        <v>72</v>
      </c>
    </row>
    <row r="77" spans="1:12" x14ac:dyDescent="0.35">
      <c r="A77" s="1">
        <v>46024</v>
      </c>
      <c r="B77" t="s">
        <v>80</v>
      </c>
      <c r="C77" t="s">
        <v>153</v>
      </c>
      <c r="D77" t="s">
        <v>63</v>
      </c>
      <c r="E77" t="s">
        <v>81</v>
      </c>
      <c r="F77" t="s">
        <v>86</v>
      </c>
      <c r="G77" t="s">
        <v>70</v>
      </c>
      <c r="H77" t="s">
        <v>84</v>
      </c>
      <c r="I77">
        <v>1</v>
      </c>
      <c r="J77">
        <v>1</v>
      </c>
      <c r="K77">
        <v>2</v>
      </c>
      <c r="L77" t="s">
        <v>72</v>
      </c>
    </row>
    <row r="78" spans="1:12" x14ac:dyDescent="0.35">
      <c r="A78" s="1">
        <v>46024</v>
      </c>
      <c r="B78" t="s">
        <v>80</v>
      </c>
      <c r="C78" t="s">
        <v>154</v>
      </c>
      <c r="D78" t="s">
        <v>41</v>
      </c>
      <c r="E78" t="s">
        <v>81</v>
      </c>
      <c r="F78" t="s">
        <v>86</v>
      </c>
      <c r="G78" t="s">
        <v>70</v>
      </c>
      <c r="H78" t="s">
        <v>84</v>
      </c>
      <c r="I78">
        <v>0</v>
      </c>
      <c r="J78">
        <v>0</v>
      </c>
      <c r="K78">
        <v>1</v>
      </c>
      <c r="L78" t="s">
        <v>72</v>
      </c>
    </row>
    <row r="79" spans="1:12" x14ac:dyDescent="0.35">
      <c r="A79" s="1">
        <v>46024</v>
      </c>
      <c r="B79" t="s">
        <v>80</v>
      </c>
      <c r="C79" t="s">
        <v>155</v>
      </c>
      <c r="D79" t="s">
        <v>57</v>
      </c>
      <c r="E79" t="s">
        <v>81</v>
      </c>
      <c r="F79" t="s">
        <v>86</v>
      </c>
      <c r="G79" t="s">
        <v>55</v>
      </c>
      <c r="H79" t="s">
        <v>84</v>
      </c>
      <c r="I79">
        <v>0</v>
      </c>
      <c r="J79">
        <v>0</v>
      </c>
      <c r="K79">
        <v>4</v>
      </c>
      <c r="L79" t="s">
        <v>72</v>
      </c>
    </row>
    <row r="80" spans="1:12" x14ac:dyDescent="0.35">
      <c r="A80" s="1">
        <v>46024</v>
      </c>
      <c r="B80" t="s">
        <v>80</v>
      </c>
      <c r="C80" t="s">
        <v>156</v>
      </c>
      <c r="D80" t="s">
        <v>41</v>
      </c>
      <c r="E80" t="s">
        <v>81</v>
      </c>
      <c r="F80" t="s">
        <v>86</v>
      </c>
      <c r="G80" t="s">
        <v>70</v>
      </c>
      <c r="H80" t="s">
        <v>84</v>
      </c>
      <c r="I80">
        <v>0</v>
      </c>
      <c r="J80">
        <v>0</v>
      </c>
      <c r="K80">
        <v>1</v>
      </c>
      <c r="L80" t="s">
        <v>72</v>
      </c>
    </row>
    <row r="81" spans="1:12" x14ac:dyDescent="0.35">
      <c r="A81" s="1">
        <v>46024</v>
      </c>
      <c r="B81" t="s">
        <v>80</v>
      </c>
      <c r="C81" t="s">
        <v>157</v>
      </c>
      <c r="D81" t="s">
        <v>39</v>
      </c>
      <c r="E81" t="s">
        <v>91</v>
      </c>
      <c r="F81" t="s">
        <v>86</v>
      </c>
      <c r="G81" t="s">
        <v>70</v>
      </c>
      <c r="H81" t="s">
        <v>84</v>
      </c>
      <c r="I81">
        <v>0</v>
      </c>
      <c r="J81">
        <v>0</v>
      </c>
      <c r="K81">
        <v>0</v>
      </c>
      <c r="L81" t="s">
        <v>72</v>
      </c>
    </row>
    <row r="82" spans="1:12" x14ac:dyDescent="0.35">
      <c r="A82" s="1">
        <v>46024</v>
      </c>
      <c r="B82" t="s">
        <v>80</v>
      </c>
      <c r="C82" t="s">
        <v>158</v>
      </c>
      <c r="D82" t="s">
        <v>65</v>
      </c>
      <c r="E82" t="s">
        <v>81</v>
      </c>
      <c r="F82" t="s">
        <v>86</v>
      </c>
      <c r="G82" t="s">
        <v>68</v>
      </c>
      <c r="H82" t="s">
        <v>84</v>
      </c>
      <c r="I82">
        <v>0</v>
      </c>
      <c r="J82">
        <v>0</v>
      </c>
      <c r="K82">
        <v>2</v>
      </c>
      <c r="L82" t="s">
        <v>72</v>
      </c>
    </row>
    <row r="83" spans="1:12" x14ac:dyDescent="0.35">
      <c r="A83" s="1">
        <v>46024</v>
      </c>
      <c r="B83" t="s">
        <v>80</v>
      </c>
      <c r="C83" t="s">
        <v>159</v>
      </c>
      <c r="D83" t="s">
        <v>67</v>
      </c>
      <c r="E83" t="s">
        <v>81</v>
      </c>
      <c r="F83" t="s">
        <v>86</v>
      </c>
      <c r="G83" t="s">
        <v>70</v>
      </c>
      <c r="H83" t="s">
        <v>84</v>
      </c>
      <c r="I83">
        <v>0</v>
      </c>
      <c r="J83">
        <v>0</v>
      </c>
      <c r="K83">
        <v>0</v>
      </c>
      <c r="L83" t="s">
        <v>72</v>
      </c>
    </row>
    <row r="84" spans="1:12" x14ac:dyDescent="0.35">
      <c r="A84" s="1">
        <v>46024</v>
      </c>
      <c r="B84" t="s">
        <v>80</v>
      </c>
      <c r="C84" t="s">
        <v>160</v>
      </c>
      <c r="D84" t="s">
        <v>46</v>
      </c>
      <c r="E84" t="s">
        <v>83</v>
      </c>
      <c r="F84" t="s">
        <v>86</v>
      </c>
      <c r="G84" t="s">
        <v>55</v>
      </c>
      <c r="H84" t="s">
        <v>84</v>
      </c>
      <c r="I84">
        <v>0</v>
      </c>
      <c r="J84">
        <v>0</v>
      </c>
      <c r="K84">
        <v>0</v>
      </c>
      <c r="L84" t="s">
        <v>72</v>
      </c>
    </row>
    <row r="85" spans="1:12" x14ac:dyDescent="0.35">
      <c r="A85" s="1">
        <v>46024</v>
      </c>
      <c r="B85" t="s">
        <v>80</v>
      </c>
      <c r="C85" t="s">
        <v>161</v>
      </c>
      <c r="D85" t="s">
        <v>34</v>
      </c>
      <c r="E85" t="s">
        <v>81</v>
      </c>
      <c r="F85" t="s">
        <v>86</v>
      </c>
      <c r="G85" t="s">
        <v>55</v>
      </c>
      <c r="H85" t="s">
        <v>84</v>
      </c>
      <c r="I85">
        <v>0</v>
      </c>
      <c r="J85">
        <v>0</v>
      </c>
      <c r="K85">
        <v>1</v>
      </c>
      <c r="L85" t="s">
        <v>72</v>
      </c>
    </row>
    <row r="86" spans="1:12" x14ac:dyDescent="0.35">
      <c r="A86" s="1">
        <v>46024</v>
      </c>
      <c r="B86" t="s">
        <v>80</v>
      </c>
      <c r="C86" t="s">
        <v>162</v>
      </c>
      <c r="D86" t="s">
        <v>34</v>
      </c>
      <c r="E86" t="s">
        <v>81</v>
      </c>
      <c r="F86" t="s">
        <v>86</v>
      </c>
      <c r="G86" t="s">
        <v>55</v>
      </c>
      <c r="H86" t="s">
        <v>84</v>
      </c>
      <c r="I86">
        <v>0</v>
      </c>
      <c r="J86">
        <v>0</v>
      </c>
      <c r="K86">
        <v>1</v>
      </c>
      <c r="L86" t="s">
        <v>72</v>
      </c>
    </row>
    <row r="87" spans="1:12" x14ac:dyDescent="0.35">
      <c r="A87" s="1">
        <v>46024</v>
      </c>
      <c r="B87" t="s">
        <v>80</v>
      </c>
      <c r="C87" t="s">
        <v>50</v>
      </c>
      <c r="D87" t="s">
        <v>53</v>
      </c>
      <c r="E87" t="s">
        <v>91</v>
      </c>
      <c r="F87" t="s">
        <v>86</v>
      </c>
      <c r="G87" t="s">
        <v>70</v>
      </c>
      <c r="H87" t="s">
        <v>82</v>
      </c>
      <c r="I87">
        <v>0</v>
      </c>
      <c r="J87">
        <v>0</v>
      </c>
      <c r="K87">
        <v>2</v>
      </c>
      <c r="L87" t="s">
        <v>72</v>
      </c>
    </row>
    <row r="88" spans="1:12" x14ac:dyDescent="0.35">
      <c r="A88" s="1">
        <v>46024</v>
      </c>
      <c r="B88" t="s">
        <v>80</v>
      </c>
      <c r="C88" t="s">
        <v>30</v>
      </c>
      <c r="D88" t="s">
        <v>26</v>
      </c>
      <c r="E88" t="s">
        <v>81</v>
      </c>
      <c r="F88" t="s">
        <v>42</v>
      </c>
      <c r="G88" t="s">
        <v>26</v>
      </c>
      <c r="H88" t="s">
        <v>82</v>
      </c>
      <c r="I88">
        <v>0</v>
      </c>
      <c r="J88">
        <v>0</v>
      </c>
      <c r="K88">
        <v>0</v>
      </c>
      <c r="L88" t="s">
        <v>72</v>
      </c>
    </row>
    <row r="89" spans="1:12" x14ac:dyDescent="0.35">
      <c r="A89" s="1">
        <v>46024</v>
      </c>
      <c r="B89" t="s">
        <v>80</v>
      </c>
      <c r="C89" t="s">
        <v>163</v>
      </c>
      <c r="D89" t="s">
        <v>36</v>
      </c>
      <c r="E89" t="s">
        <v>81</v>
      </c>
      <c r="F89" t="s">
        <v>86</v>
      </c>
      <c r="G89" t="s">
        <v>88</v>
      </c>
      <c r="H89" t="s">
        <v>84</v>
      </c>
      <c r="I89">
        <v>0</v>
      </c>
      <c r="J89">
        <v>0</v>
      </c>
      <c r="K89">
        <v>0</v>
      </c>
      <c r="L89" t="s">
        <v>72</v>
      </c>
    </row>
    <row r="90" spans="1:12" x14ac:dyDescent="0.35">
      <c r="A90" s="1">
        <v>46024</v>
      </c>
      <c r="B90" t="s">
        <v>80</v>
      </c>
      <c r="C90" t="s">
        <v>164</v>
      </c>
      <c r="D90" t="s">
        <v>67</v>
      </c>
      <c r="E90" t="s">
        <v>81</v>
      </c>
      <c r="F90" t="s">
        <v>86</v>
      </c>
      <c r="G90" t="s">
        <v>70</v>
      </c>
      <c r="H90" t="s">
        <v>84</v>
      </c>
      <c r="I90">
        <v>0</v>
      </c>
      <c r="J90">
        <v>0</v>
      </c>
      <c r="K90">
        <v>0</v>
      </c>
      <c r="L90" t="s">
        <v>72</v>
      </c>
    </row>
    <row r="91" spans="1:12" x14ac:dyDescent="0.35">
      <c r="A91" s="1">
        <v>46024</v>
      </c>
      <c r="B91" t="s">
        <v>80</v>
      </c>
      <c r="C91" t="s">
        <v>165</v>
      </c>
      <c r="D91" t="s">
        <v>57</v>
      </c>
      <c r="E91" t="s">
        <v>81</v>
      </c>
      <c r="F91" t="s">
        <v>86</v>
      </c>
      <c r="G91" t="s">
        <v>55</v>
      </c>
      <c r="H91" t="s">
        <v>84</v>
      </c>
      <c r="I91">
        <v>0</v>
      </c>
      <c r="J91">
        <v>0</v>
      </c>
      <c r="K91">
        <v>4</v>
      </c>
      <c r="L91" t="s">
        <v>72</v>
      </c>
    </row>
    <row r="92" spans="1:12" x14ac:dyDescent="0.35">
      <c r="A92" s="1">
        <v>46024</v>
      </c>
      <c r="B92" t="s">
        <v>80</v>
      </c>
      <c r="C92" t="s">
        <v>65</v>
      </c>
      <c r="D92" t="s">
        <v>68</v>
      </c>
      <c r="E92" t="s">
        <v>81</v>
      </c>
      <c r="F92" t="s">
        <v>86</v>
      </c>
      <c r="G92" t="s">
        <v>68</v>
      </c>
      <c r="H92" t="s">
        <v>82</v>
      </c>
      <c r="I92">
        <v>0</v>
      </c>
      <c r="J92">
        <v>0</v>
      </c>
      <c r="K92">
        <v>0</v>
      </c>
      <c r="L92" t="s">
        <v>72</v>
      </c>
    </row>
    <row r="93" spans="1:12" x14ac:dyDescent="0.35">
      <c r="A93" s="1">
        <v>46024</v>
      </c>
      <c r="B93" t="s">
        <v>80</v>
      </c>
      <c r="C93" t="s">
        <v>166</v>
      </c>
      <c r="D93" t="s">
        <v>32</v>
      </c>
      <c r="E93" t="s">
        <v>81</v>
      </c>
      <c r="F93" t="s">
        <v>86</v>
      </c>
      <c r="G93" t="s">
        <v>55</v>
      </c>
      <c r="H93" t="s">
        <v>84</v>
      </c>
      <c r="I93">
        <v>0</v>
      </c>
      <c r="J93">
        <v>0</v>
      </c>
      <c r="K93">
        <v>1</v>
      </c>
      <c r="L93" t="s">
        <v>72</v>
      </c>
    </row>
    <row r="94" spans="1:12" x14ac:dyDescent="0.35">
      <c r="A94" s="1">
        <v>46024</v>
      </c>
      <c r="B94" t="s">
        <v>80</v>
      </c>
      <c r="C94" t="s">
        <v>113</v>
      </c>
      <c r="D94" t="s">
        <v>37</v>
      </c>
      <c r="E94" t="s">
        <v>81</v>
      </c>
      <c r="F94" t="s">
        <v>86</v>
      </c>
      <c r="G94" t="s">
        <v>70</v>
      </c>
      <c r="H94" t="s">
        <v>84</v>
      </c>
      <c r="I94">
        <v>1</v>
      </c>
      <c r="J94">
        <v>1</v>
      </c>
      <c r="K94">
        <v>1</v>
      </c>
      <c r="L94" t="s">
        <v>72</v>
      </c>
    </row>
    <row r="95" spans="1:12" x14ac:dyDescent="0.35">
      <c r="A95" s="1">
        <v>46024</v>
      </c>
      <c r="B95" t="s">
        <v>80</v>
      </c>
      <c r="C95" t="s">
        <v>167</v>
      </c>
      <c r="D95" t="s">
        <v>27</v>
      </c>
      <c r="E95" t="s">
        <v>81</v>
      </c>
      <c r="F95" t="s">
        <v>86</v>
      </c>
      <c r="G95" t="s">
        <v>55</v>
      </c>
      <c r="H95" t="s">
        <v>84</v>
      </c>
      <c r="I95">
        <v>0</v>
      </c>
      <c r="J95">
        <v>0</v>
      </c>
      <c r="K95">
        <v>0</v>
      </c>
      <c r="L95" t="s">
        <v>72</v>
      </c>
    </row>
    <row r="96" spans="1:12" x14ac:dyDescent="0.35">
      <c r="A96" s="1">
        <v>46024</v>
      </c>
      <c r="B96" t="s">
        <v>80</v>
      </c>
      <c r="C96" t="s">
        <v>168</v>
      </c>
      <c r="D96" t="s">
        <v>29</v>
      </c>
      <c r="E96" t="s">
        <v>83</v>
      </c>
      <c r="F96" t="s">
        <v>86</v>
      </c>
      <c r="G96" t="s">
        <v>60</v>
      </c>
      <c r="H96" t="s">
        <v>84</v>
      </c>
      <c r="I96">
        <v>1</v>
      </c>
      <c r="J96">
        <v>1</v>
      </c>
      <c r="K96">
        <v>5</v>
      </c>
      <c r="L96" t="s">
        <v>72</v>
      </c>
    </row>
    <row r="97" spans="1:12" x14ac:dyDescent="0.35">
      <c r="A97" s="1">
        <v>46024</v>
      </c>
      <c r="B97" t="s">
        <v>80</v>
      </c>
      <c r="C97" t="s">
        <v>47</v>
      </c>
      <c r="D97" t="s">
        <v>28</v>
      </c>
      <c r="E97" t="s">
        <v>81</v>
      </c>
      <c r="F97" t="s">
        <v>86</v>
      </c>
      <c r="G97" t="s">
        <v>70</v>
      </c>
      <c r="H97" t="s">
        <v>82</v>
      </c>
      <c r="I97">
        <v>1</v>
      </c>
      <c r="J97">
        <v>1</v>
      </c>
      <c r="K97">
        <v>1</v>
      </c>
      <c r="L97" t="s">
        <v>72</v>
      </c>
    </row>
    <row r="98" spans="1:12" x14ac:dyDescent="0.35">
      <c r="A98" s="1">
        <v>46024</v>
      </c>
      <c r="B98" t="s">
        <v>80</v>
      </c>
      <c r="C98" t="s">
        <v>169</v>
      </c>
      <c r="D98" t="s">
        <v>27</v>
      </c>
      <c r="E98" t="s">
        <v>81</v>
      </c>
      <c r="F98" t="s">
        <v>86</v>
      </c>
      <c r="G98" t="s">
        <v>55</v>
      </c>
      <c r="H98" t="s">
        <v>84</v>
      </c>
      <c r="I98">
        <v>0</v>
      </c>
      <c r="J98">
        <v>0</v>
      </c>
      <c r="K98">
        <v>0</v>
      </c>
      <c r="L98" t="s">
        <v>72</v>
      </c>
    </row>
    <row r="99" spans="1:12" x14ac:dyDescent="0.35">
      <c r="A99" s="1">
        <v>46024</v>
      </c>
      <c r="B99" t="s">
        <v>80</v>
      </c>
      <c r="C99" t="s">
        <v>170</v>
      </c>
      <c r="D99" t="s">
        <v>68</v>
      </c>
      <c r="E99" t="s">
        <v>81</v>
      </c>
      <c r="F99" t="s">
        <v>86</v>
      </c>
      <c r="G99" t="s">
        <v>68</v>
      </c>
      <c r="H99" t="s">
        <v>84</v>
      </c>
      <c r="I99">
        <v>0</v>
      </c>
      <c r="J99">
        <v>0</v>
      </c>
      <c r="K99">
        <v>0</v>
      </c>
      <c r="L99" t="s">
        <v>72</v>
      </c>
    </row>
    <row r="100" spans="1:12" x14ac:dyDescent="0.35">
      <c r="A100" s="1">
        <v>46024</v>
      </c>
      <c r="B100" t="s">
        <v>80</v>
      </c>
      <c r="C100" t="s">
        <v>57</v>
      </c>
      <c r="D100" t="s">
        <v>38</v>
      </c>
      <c r="E100" t="s">
        <v>81</v>
      </c>
      <c r="F100" t="s">
        <v>86</v>
      </c>
      <c r="G100" t="s">
        <v>55</v>
      </c>
      <c r="H100" t="s">
        <v>82</v>
      </c>
      <c r="I100">
        <v>1</v>
      </c>
      <c r="J100">
        <v>1</v>
      </c>
      <c r="K100">
        <v>4</v>
      </c>
      <c r="L100" t="s">
        <v>72</v>
      </c>
    </row>
    <row r="101" spans="1:12" x14ac:dyDescent="0.35">
      <c r="A101" s="1">
        <v>46024</v>
      </c>
      <c r="B101" t="s">
        <v>80</v>
      </c>
      <c r="C101" t="s">
        <v>171</v>
      </c>
      <c r="D101" t="s">
        <v>49</v>
      </c>
      <c r="E101" t="s">
        <v>81</v>
      </c>
      <c r="F101" t="s">
        <v>86</v>
      </c>
      <c r="G101" t="s">
        <v>70</v>
      </c>
      <c r="H101" t="s">
        <v>84</v>
      </c>
      <c r="I101">
        <v>1</v>
      </c>
      <c r="J101">
        <v>1</v>
      </c>
      <c r="K101">
        <v>1</v>
      </c>
      <c r="L101" t="s">
        <v>72</v>
      </c>
    </row>
    <row r="102" spans="1:12" x14ac:dyDescent="0.35">
      <c r="A102" s="1">
        <v>46024</v>
      </c>
      <c r="B102" t="s">
        <v>80</v>
      </c>
      <c r="C102" t="s">
        <v>59</v>
      </c>
      <c r="D102" t="s">
        <v>55</v>
      </c>
      <c r="E102" t="s">
        <v>81</v>
      </c>
      <c r="F102" t="s">
        <v>86</v>
      </c>
      <c r="G102" t="s">
        <v>55</v>
      </c>
      <c r="H102" t="s">
        <v>82</v>
      </c>
      <c r="I102">
        <v>0</v>
      </c>
      <c r="J102">
        <v>0</v>
      </c>
      <c r="K102">
        <v>0</v>
      </c>
      <c r="L102" t="s">
        <v>72</v>
      </c>
    </row>
    <row r="103" spans="1:12" x14ac:dyDescent="0.35">
      <c r="A103" s="1">
        <v>46024</v>
      </c>
      <c r="B103" t="s">
        <v>80</v>
      </c>
      <c r="C103" t="s">
        <v>172</v>
      </c>
      <c r="D103" t="s">
        <v>64</v>
      </c>
      <c r="E103" t="s">
        <v>83</v>
      </c>
      <c r="F103" t="s">
        <v>86</v>
      </c>
      <c r="G103" t="s">
        <v>60</v>
      </c>
      <c r="H103" t="s">
        <v>84</v>
      </c>
      <c r="I103">
        <v>0</v>
      </c>
      <c r="J103">
        <v>0</v>
      </c>
      <c r="K103">
        <v>2</v>
      </c>
      <c r="L103" t="s">
        <v>72</v>
      </c>
    </row>
    <row r="104" spans="1:12" x14ac:dyDescent="0.35">
      <c r="A104" s="1">
        <v>46024</v>
      </c>
      <c r="B104" t="s">
        <v>80</v>
      </c>
      <c r="C104" t="s">
        <v>28</v>
      </c>
      <c r="D104" t="s">
        <v>70</v>
      </c>
      <c r="E104" t="s">
        <v>81</v>
      </c>
      <c r="F104" t="s">
        <v>86</v>
      </c>
      <c r="G104" t="s">
        <v>70</v>
      </c>
      <c r="H104" t="s">
        <v>82</v>
      </c>
      <c r="I104">
        <v>0</v>
      </c>
      <c r="J104">
        <v>0</v>
      </c>
      <c r="K104">
        <v>1</v>
      </c>
      <c r="L104" t="s">
        <v>72</v>
      </c>
    </row>
    <row r="105" spans="1:12" x14ac:dyDescent="0.35">
      <c r="A105" s="1">
        <v>46024</v>
      </c>
      <c r="B105" t="s">
        <v>80</v>
      </c>
      <c r="C105" t="s">
        <v>173</v>
      </c>
      <c r="D105" t="s">
        <v>52</v>
      </c>
      <c r="E105" t="s">
        <v>81</v>
      </c>
      <c r="F105" t="s">
        <v>86</v>
      </c>
      <c r="G105" t="s">
        <v>70</v>
      </c>
      <c r="H105" t="s">
        <v>84</v>
      </c>
      <c r="I105">
        <v>1</v>
      </c>
      <c r="J105">
        <v>1</v>
      </c>
      <c r="K105">
        <v>1</v>
      </c>
      <c r="L105" t="s">
        <v>72</v>
      </c>
    </row>
    <row r="106" spans="1:12" x14ac:dyDescent="0.35">
      <c r="A106" s="1">
        <v>46024</v>
      </c>
      <c r="B106" t="s">
        <v>80</v>
      </c>
      <c r="C106" t="s">
        <v>174</v>
      </c>
      <c r="D106" t="s">
        <v>39</v>
      </c>
      <c r="E106" t="s">
        <v>175</v>
      </c>
      <c r="F106" t="s">
        <v>86</v>
      </c>
      <c r="G106" t="s">
        <v>70</v>
      </c>
      <c r="H106" t="s">
        <v>84</v>
      </c>
      <c r="I106">
        <v>0</v>
      </c>
      <c r="J106">
        <v>0</v>
      </c>
      <c r="K106">
        <v>0</v>
      </c>
      <c r="L106" t="s">
        <v>72</v>
      </c>
    </row>
    <row r="107" spans="1:12" x14ac:dyDescent="0.35">
      <c r="A107" s="1">
        <v>46024</v>
      </c>
      <c r="B107" t="s">
        <v>80</v>
      </c>
      <c r="C107" t="s">
        <v>176</v>
      </c>
      <c r="D107" t="s">
        <v>37</v>
      </c>
      <c r="E107" t="s">
        <v>81</v>
      </c>
      <c r="F107" t="s">
        <v>86</v>
      </c>
      <c r="G107" t="s">
        <v>70</v>
      </c>
      <c r="H107" t="s">
        <v>84</v>
      </c>
      <c r="I107">
        <v>1</v>
      </c>
      <c r="J107">
        <v>1</v>
      </c>
      <c r="K107">
        <v>1</v>
      </c>
      <c r="L107" t="s">
        <v>72</v>
      </c>
    </row>
    <row r="108" spans="1:12" x14ac:dyDescent="0.35">
      <c r="A108" s="1">
        <v>46024</v>
      </c>
      <c r="B108" t="s">
        <v>80</v>
      </c>
      <c r="C108" t="s">
        <v>177</v>
      </c>
      <c r="D108" t="s">
        <v>68</v>
      </c>
      <c r="E108" t="s">
        <v>103</v>
      </c>
      <c r="F108" t="s">
        <v>86</v>
      </c>
      <c r="G108" t="s">
        <v>68</v>
      </c>
      <c r="H108" t="s">
        <v>84</v>
      </c>
      <c r="I108">
        <v>0</v>
      </c>
      <c r="J108">
        <v>0</v>
      </c>
      <c r="K108">
        <v>0</v>
      </c>
      <c r="L108" t="s">
        <v>72</v>
      </c>
    </row>
    <row r="109" spans="1:12" x14ac:dyDescent="0.35">
      <c r="A109" s="1">
        <v>46024</v>
      </c>
      <c r="B109" t="s">
        <v>80</v>
      </c>
      <c r="C109" t="s">
        <v>178</v>
      </c>
      <c r="D109" t="s">
        <v>67</v>
      </c>
      <c r="E109" t="s">
        <v>81</v>
      </c>
      <c r="F109" t="s">
        <v>86</v>
      </c>
      <c r="G109" t="s">
        <v>70</v>
      </c>
      <c r="H109" t="s">
        <v>84</v>
      </c>
      <c r="I109">
        <v>0</v>
      </c>
      <c r="J109">
        <v>0</v>
      </c>
      <c r="K109">
        <v>0</v>
      </c>
      <c r="L109" t="s">
        <v>72</v>
      </c>
    </row>
    <row r="110" spans="1:12" x14ac:dyDescent="0.35">
      <c r="A110" s="1">
        <v>46024</v>
      </c>
      <c r="B110" t="s">
        <v>80</v>
      </c>
      <c r="C110" t="s">
        <v>44</v>
      </c>
      <c r="D110" t="s">
        <v>68</v>
      </c>
      <c r="E110" t="s">
        <v>81</v>
      </c>
      <c r="F110" t="s">
        <v>86</v>
      </c>
      <c r="G110" t="s">
        <v>68</v>
      </c>
      <c r="H110" t="s">
        <v>82</v>
      </c>
      <c r="I110">
        <v>0</v>
      </c>
      <c r="J110">
        <v>0</v>
      </c>
      <c r="K110">
        <v>0</v>
      </c>
      <c r="L110" t="s">
        <v>72</v>
      </c>
    </row>
    <row r="111" spans="1:12" x14ac:dyDescent="0.35">
      <c r="A111" s="1">
        <v>46024</v>
      </c>
      <c r="B111" t="s">
        <v>80</v>
      </c>
      <c r="C111" t="s">
        <v>179</v>
      </c>
      <c r="D111" t="s">
        <v>50</v>
      </c>
      <c r="E111" t="s">
        <v>91</v>
      </c>
      <c r="F111" t="s">
        <v>86</v>
      </c>
      <c r="G111" t="s">
        <v>70</v>
      </c>
      <c r="H111" t="s">
        <v>84</v>
      </c>
      <c r="I111">
        <v>0</v>
      </c>
      <c r="J111">
        <v>0</v>
      </c>
      <c r="K111">
        <v>2</v>
      </c>
      <c r="L111" t="s">
        <v>72</v>
      </c>
    </row>
    <row r="112" spans="1:12" x14ac:dyDescent="0.35">
      <c r="A112" s="1">
        <v>46024</v>
      </c>
      <c r="B112" t="s">
        <v>80</v>
      </c>
      <c r="C112" t="s">
        <v>180</v>
      </c>
      <c r="D112" t="s">
        <v>59</v>
      </c>
      <c r="E112" t="s">
        <v>81</v>
      </c>
      <c r="F112" t="s">
        <v>86</v>
      </c>
      <c r="G112" t="s">
        <v>55</v>
      </c>
      <c r="H112" t="s">
        <v>84</v>
      </c>
      <c r="I112">
        <v>0</v>
      </c>
      <c r="J112">
        <v>0</v>
      </c>
      <c r="K112">
        <v>0</v>
      </c>
      <c r="L112" t="s">
        <v>72</v>
      </c>
    </row>
    <row r="113" spans="1:12" x14ac:dyDescent="0.35">
      <c r="A113" s="1">
        <v>46024</v>
      </c>
      <c r="B113" t="s">
        <v>80</v>
      </c>
      <c r="C113" t="s">
        <v>163</v>
      </c>
      <c r="D113" t="s">
        <v>37</v>
      </c>
      <c r="E113" t="s">
        <v>81</v>
      </c>
      <c r="F113" t="s">
        <v>86</v>
      </c>
      <c r="G113" t="s">
        <v>70</v>
      </c>
      <c r="H113" t="s">
        <v>84</v>
      </c>
      <c r="I113">
        <v>1</v>
      </c>
      <c r="J113">
        <v>1</v>
      </c>
      <c r="K113">
        <v>1</v>
      </c>
      <c r="L113" t="s">
        <v>72</v>
      </c>
    </row>
    <row r="114" spans="1:12" x14ac:dyDescent="0.35">
      <c r="A114" s="1">
        <v>46024</v>
      </c>
      <c r="B114" t="s">
        <v>80</v>
      </c>
      <c r="C114" t="s">
        <v>181</v>
      </c>
      <c r="D114" t="s">
        <v>31</v>
      </c>
      <c r="E114" t="s">
        <v>81</v>
      </c>
      <c r="F114" t="s">
        <v>86</v>
      </c>
      <c r="G114" t="s">
        <v>55</v>
      </c>
      <c r="H114" t="s">
        <v>84</v>
      </c>
      <c r="I114">
        <v>0</v>
      </c>
      <c r="J114">
        <v>0</v>
      </c>
      <c r="K114">
        <v>1</v>
      </c>
      <c r="L114" t="s">
        <v>72</v>
      </c>
    </row>
    <row r="115" spans="1:12" x14ac:dyDescent="0.35">
      <c r="A115" s="1">
        <v>46024</v>
      </c>
      <c r="B115" t="s">
        <v>80</v>
      </c>
      <c r="C115" t="s">
        <v>58</v>
      </c>
      <c r="D115" t="s">
        <v>28</v>
      </c>
      <c r="E115" t="s">
        <v>81</v>
      </c>
      <c r="F115" t="s">
        <v>86</v>
      </c>
      <c r="G115" t="s">
        <v>70</v>
      </c>
      <c r="H115" t="s">
        <v>82</v>
      </c>
      <c r="I115">
        <v>0</v>
      </c>
      <c r="J115">
        <v>0</v>
      </c>
      <c r="K115">
        <v>1</v>
      </c>
      <c r="L115" t="s">
        <v>72</v>
      </c>
    </row>
    <row r="116" spans="1:12" x14ac:dyDescent="0.35">
      <c r="A116" s="1">
        <v>46024</v>
      </c>
      <c r="B116" t="s">
        <v>80</v>
      </c>
      <c r="C116" t="s">
        <v>182</v>
      </c>
      <c r="D116" t="s">
        <v>57</v>
      </c>
      <c r="E116" t="s">
        <v>81</v>
      </c>
      <c r="F116" t="s">
        <v>86</v>
      </c>
      <c r="G116" t="s">
        <v>55</v>
      </c>
      <c r="H116" t="s">
        <v>84</v>
      </c>
      <c r="I116">
        <v>0</v>
      </c>
      <c r="J116">
        <v>0</v>
      </c>
      <c r="K116">
        <v>4</v>
      </c>
      <c r="L116" t="s">
        <v>72</v>
      </c>
    </row>
    <row r="117" spans="1:12" x14ac:dyDescent="0.35">
      <c r="A117" s="1">
        <v>46024</v>
      </c>
      <c r="B117" t="s">
        <v>80</v>
      </c>
      <c r="C117" t="s">
        <v>183</v>
      </c>
      <c r="D117" t="s">
        <v>48</v>
      </c>
      <c r="E117" t="s">
        <v>81</v>
      </c>
      <c r="F117" t="s">
        <v>86</v>
      </c>
      <c r="G117" t="s">
        <v>55</v>
      </c>
      <c r="H117" t="s">
        <v>84</v>
      </c>
      <c r="I117">
        <v>0</v>
      </c>
      <c r="J117">
        <v>0</v>
      </c>
      <c r="K117">
        <v>0</v>
      </c>
      <c r="L117" t="s">
        <v>72</v>
      </c>
    </row>
    <row r="118" spans="1:12" x14ac:dyDescent="0.35">
      <c r="A118" s="1">
        <v>46024</v>
      </c>
      <c r="B118" t="s">
        <v>80</v>
      </c>
      <c r="C118" t="s">
        <v>152</v>
      </c>
      <c r="D118" t="s">
        <v>44</v>
      </c>
      <c r="E118" t="s">
        <v>81</v>
      </c>
      <c r="F118" t="s">
        <v>86</v>
      </c>
      <c r="G118" t="s">
        <v>68</v>
      </c>
      <c r="H118" t="s">
        <v>84</v>
      </c>
      <c r="I118">
        <v>0</v>
      </c>
      <c r="J118">
        <v>0</v>
      </c>
      <c r="K118">
        <v>4</v>
      </c>
      <c r="L118" t="s">
        <v>72</v>
      </c>
    </row>
    <row r="119" spans="1:12" x14ac:dyDescent="0.35">
      <c r="A119" s="1">
        <v>46024</v>
      </c>
      <c r="B119" t="s">
        <v>80</v>
      </c>
      <c r="C119" t="s">
        <v>184</v>
      </c>
      <c r="D119" t="s">
        <v>61</v>
      </c>
      <c r="E119" t="s">
        <v>81</v>
      </c>
      <c r="F119" t="s">
        <v>86</v>
      </c>
      <c r="G119" t="s">
        <v>70</v>
      </c>
      <c r="H119" t="s">
        <v>84</v>
      </c>
      <c r="I119">
        <v>0</v>
      </c>
      <c r="J119">
        <v>0</v>
      </c>
      <c r="K119">
        <v>0</v>
      </c>
      <c r="L119" t="s">
        <v>72</v>
      </c>
    </row>
    <row r="120" spans="1:12" x14ac:dyDescent="0.35">
      <c r="A120" s="1">
        <v>46024</v>
      </c>
      <c r="B120" t="s">
        <v>80</v>
      </c>
      <c r="C120" t="s">
        <v>185</v>
      </c>
      <c r="D120" t="s">
        <v>63</v>
      </c>
      <c r="E120" t="s">
        <v>81</v>
      </c>
      <c r="F120" t="s">
        <v>86</v>
      </c>
      <c r="G120" t="s">
        <v>70</v>
      </c>
      <c r="H120" t="s">
        <v>84</v>
      </c>
      <c r="I120">
        <v>1</v>
      </c>
      <c r="J120">
        <v>1</v>
      </c>
      <c r="K120">
        <v>1</v>
      </c>
      <c r="L120" t="s">
        <v>72</v>
      </c>
    </row>
    <row r="121" spans="1:12" x14ac:dyDescent="0.35">
      <c r="A121" s="1">
        <v>46024</v>
      </c>
      <c r="B121" t="s">
        <v>80</v>
      </c>
      <c r="C121" t="s">
        <v>186</v>
      </c>
      <c r="D121" t="s">
        <v>44</v>
      </c>
      <c r="E121" t="s">
        <v>81</v>
      </c>
      <c r="F121" t="s">
        <v>86</v>
      </c>
      <c r="G121" t="s">
        <v>68</v>
      </c>
      <c r="H121" t="s">
        <v>84</v>
      </c>
      <c r="I121">
        <v>0</v>
      </c>
      <c r="J121">
        <v>0</v>
      </c>
      <c r="K121">
        <v>1</v>
      </c>
      <c r="L121" t="s">
        <v>72</v>
      </c>
    </row>
    <row r="122" spans="1:12" x14ac:dyDescent="0.35">
      <c r="A122" s="1">
        <v>46024</v>
      </c>
      <c r="B122" t="s">
        <v>80</v>
      </c>
      <c r="C122" t="s">
        <v>187</v>
      </c>
      <c r="D122" t="s">
        <v>56</v>
      </c>
      <c r="E122" t="s">
        <v>81</v>
      </c>
      <c r="F122" t="s">
        <v>86</v>
      </c>
      <c r="G122" t="s">
        <v>70</v>
      </c>
      <c r="H122" t="s">
        <v>84</v>
      </c>
      <c r="I122">
        <v>0</v>
      </c>
      <c r="J122">
        <v>0</v>
      </c>
      <c r="K122">
        <v>1</v>
      </c>
      <c r="L122" t="s">
        <v>72</v>
      </c>
    </row>
    <row r="123" spans="1:12" x14ac:dyDescent="0.35">
      <c r="A123" s="1">
        <v>46024</v>
      </c>
      <c r="B123" t="s">
        <v>80</v>
      </c>
      <c r="C123" t="s">
        <v>32</v>
      </c>
      <c r="D123" t="s">
        <v>55</v>
      </c>
      <c r="E123" t="s">
        <v>81</v>
      </c>
      <c r="F123" t="s">
        <v>86</v>
      </c>
      <c r="G123" t="s">
        <v>55</v>
      </c>
      <c r="H123" t="s">
        <v>82</v>
      </c>
      <c r="I123">
        <v>0</v>
      </c>
      <c r="J123">
        <v>0</v>
      </c>
      <c r="K123">
        <v>1</v>
      </c>
      <c r="L123" t="s">
        <v>72</v>
      </c>
    </row>
    <row r="124" spans="1:12" x14ac:dyDescent="0.35">
      <c r="A124" s="1">
        <v>46024</v>
      </c>
      <c r="B124" t="s">
        <v>80</v>
      </c>
      <c r="C124" t="s">
        <v>188</v>
      </c>
      <c r="D124" t="s">
        <v>43</v>
      </c>
      <c r="E124" t="s">
        <v>81</v>
      </c>
      <c r="F124" t="s">
        <v>86</v>
      </c>
      <c r="G124" t="s">
        <v>70</v>
      </c>
      <c r="H124" t="s">
        <v>84</v>
      </c>
      <c r="I124">
        <v>1</v>
      </c>
      <c r="J124">
        <v>1</v>
      </c>
      <c r="K124">
        <v>1</v>
      </c>
      <c r="L124" t="s">
        <v>72</v>
      </c>
    </row>
    <row r="125" spans="1:12" x14ac:dyDescent="0.35">
      <c r="A125" s="1">
        <v>46024</v>
      </c>
      <c r="B125" t="s">
        <v>80</v>
      </c>
      <c r="C125" t="s">
        <v>189</v>
      </c>
      <c r="D125" t="s">
        <v>59</v>
      </c>
      <c r="E125" t="s">
        <v>81</v>
      </c>
      <c r="F125" t="s">
        <v>86</v>
      </c>
      <c r="G125" t="s">
        <v>55</v>
      </c>
      <c r="H125" t="s">
        <v>84</v>
      </c>
      <c r="I125">
        <v>0</v>
      </c>
      <c r="J125">
        <v>0</v>
      </c>
      <c r="K125">
        <v>0</v>
      </c>
      <c r="L125" t="s">
        <v>72</v>
      </c>
    </row>
    <row r="126" spans="1:12" x14ac:dyDescent="0.35">
      <c r="A126" s="1">
        <v>46024</v>
      </c>
      <c r="B126" t="s">
        <v>80</v>
      </c>
      <c r="C126" t="s">
        <v>190</v>
      </c>
      <c r="D126" t="s">
        <v>62</v>
      </c>
      <c r="E126" t="s">
        <v>81</v>
      </c>
      <c r="F126" t="s">
        <v>86</v>
      </c>
      <c r="G126" t="s">
        <v>55</v>
      </c>
      <c r="H126" t="s">
        <v>84</v>
      </c>
      <c r="I126">
        <v>0</v>
      </c>
      <c r="J126">
        <v>0</v>
      </c>
      <c r="K126">
        <v>4</v>
      </c>
      <c r="L126" t="s">
        <v>72</v>
      </c>
    </row>
    <row r="127" spans="1:12" x14ac:dyDescent="0.35">
      <c r="A127" s="1">
        <v>46024</v>
      </c>
      <c r="B127" t="s">
        <v>80</v>
      </c>
      <c r="C127" t="s">
        <v>191</v>
      </c>
      <c r="D127" t="s">
        <v>62</v>
      </c>
      <c r="E127" t="s">
        <v>81</v>
      </c>
      <c r="F127" t="s">
        <v>86</v>
      </c>
      <c r="G127" t="s">
        <v>55</v>
      </c>
      <c r="H127" t="s">
        <v>84</v>
      </c>
      <c r="I127">
        <v>0</v>
      </c>
      <c r="J127">
        <v>0</v>
      </c>
      <c r="K127">
        <v>0</v>
      </c>
      <c r="L127" t="s">
        <v>72</v>
      </c>
    </row>
    <row r="128" spans="1:12" x14ac:dyDescent="0.35">
      <c r="A128" s="1">
        <v>46024</v>
      </c>
      <c r="B128" t="s">
        <v>80</v>
      </c>
      <c r="C128" t="s">
        <v>63</v>
      </c>
      <c r="D128" t="s">
        <v>28</v>
      </c>
      <c r="E128" t="s">
        <v>81</v>
      </c>
      <c r="F128" t="s">
        <v>86</v>
      </c>
      <c r="G128" t="s">
        <v>70</v>
      </c>
      <c r="H128" t="s">
        <v>82</v>
      </c>
      <c r="I128">
        <v>1</v>
      </c>
      <c r="J128">
        <v>1</v>
      </c>
      <c r="K128">
        <v>1</v>
      </c>
      <c r="L128" t="s">
        <v>72</v>
      </c>
    </row>
    <row r="129" spans="1:12" x14ac:dyDescent="0.35">
      <c r="A129" s="1">
        <v>46024</v>
      </c>
      <c r="B129" t="s">
        <v>80</v>
      </c>
      <c r="C129" t="s">
        <v>192</v>
      </c>
      <c r="D129" t="s">
        <v>34</v>
      </c>
      <c r="E129" t="s">
        <v>81</v>
      </c>
      <c r="F129" t="s">
        <v>86</v>
      </c>
      <c r="G129" t="s">
        <v>55</v>
      </c>
      <c r="H129" t="s">
        <v>84</v>
      </c>
      <c r="I129">
        <v>0</v>
      </c>
      <c r="J129">
        <v>0</v>
      </c>
      <c r="K129">
        <v>1</v>
      </c>
      <c r="L129" t="s">
        <v>72</v>
      </c>
    </row>
    <row r="130" spans="1:12" x14ac:dyDescent="0.35">
      <c r="A130" s="1">
        <v>46024</v>
      </c>
      <c r="B130" t="s">
        <v>80</v>
      </c>
      <c r="C130" t="s">
        <v>193</v>
      </c>
      <c r="D130" t="s">
        <v>39</v>
      </c>
      <c r="E130" t="s">
        <v>91</v>
      </c>
      <c r="F130" t="s">
        <v>86</v>
      </c>
      <c r="G130" t="s">
        <v>70</v>
      </c>
      <c r="H130" t="s">
        <v>84</v>
      </c>
      <c r="I130">
        <v>0</v>
      </c>
      <c r="J130">
        <v>0</v>
      </c>
      <c r="K130">
        <v>0</v>
      </c>
      <c r="L130" t="s">
        <v>72</v>
      </c>
    </row>
    <row r="131" spans="1:12" x14ac:dyDescent="0.35">
      <c r="A131" s="1">
        <v>46024</v>
      </c>
      <c r="B131" t="s">
        <v>80</v>
      </c>
      <c r="C131" t="s">
        <v>66</v>
      </c>
      <c r="D131" t="s">
        <v>28</v>
      </c>
      <c r="E131" t="s">
        <v>81</v>
      </c>
      <c r="F131" t="s">
        <v>86</v>
      </c>
      <c r="G131" t="s">
        <v>70</v>
      </c>
      <c r="H131" t="s">
        <v>82</v>
      </c>
      <c r="I131">
        <v>1</v>
      </c>
      <c r="J131">
        <v>1</v>
      </c>
      <c r="K131">
        <v>1</v>
      </c>
      <c r="L131" t="s">
        <v>72</v>
      </c>
    </row>
    <row r="132" spans="1:12" x14ac:dyDescent="0.35">
      <c r="A132" s="1">
        <v>46024</v>
      </c>
      <c r="B132" t="s">
        <v>80</v>
      </c>
      <c r="C132" t="s">
        <v>194</v>
      </c>
      <c r="D132" t="s">
        <v>67</v>
      </c>
      <c r="E132" t="s">
        <v>81</v>
      </c>
      <c r="F132" t="s">
        <v>86</v>
      </c>
      <c r="G132" t="s">
        <v>70</v>
      </c>
      <c r="H132" t="s">
        <v>84</v>
      </c>
      <c r="I132">
        <v>0</v>
      </c>
      <c r="J132">
        <v>0</v>
      </c>
      <c r="K132">
        <v>0</v>
      </c>
      <c r="L132" t="s">
        <v>72</v>
      </c>
    </row>
    <row r="133" spans="1:12" x14ac:dyDescent="0.35">
      <c r="A133" s="1">
        <v>46024</v>
      </c>
      <c r="B133" t="s">
        <v>80</v>
      </c>
      <c r="C133" t="s">
        <v>195</v>
      </c>
      <c r="D133" t="s">
        <v>34</v>
      </c>
      <c r="E133" t="s">
        <v>81</v>
      </c>
      <c r="F133" t="s">
        <v>86</v>
      </c>
      <c r="G133" t="s">
        <v>55</v>
      </c>
      <c r="H133" t="s">
        <v>84</v>
      </c>
      <c r="I133">
        <v>0</v>
      </c>
      <c r="J133">
        <v>0</v>
      </c>
      <c r="K133">
        <v>1</v>
      </c>
      <c r="L133" t="s">
        <v>72</v>
      </c>
    </row>
    <row r="134" spans="1:12" x14ac:dyDescent="0.35">
      <c r="A134" s="1">
        <v>46024</v>
      </c>
      <c r="B134" t="s">
        <v>80</v>
      </c>
      <c r="C134" t="s">
        <v>41</v>
      </c>
      <c r="D134" t="s">
        <v>45</v>
      </c>
      <c r="E134" t="s">
        <v>81</v>
      </c>
      <c r="F134" t="s">
        <v>86</v>
      </c>
      <c r="G134" t="s">
        <v>70</v>
      </c>
      <c r="H134" t="s">
        <v>82</v>
      </c>
      <c r="I134">
        <v>1</v>
      </c>
      <c r="J134">
        <v>1</v>
      </c>
      <c r="K134">
        <v>2</v>
      </c>
      <c r="L134" t="s">
        <v>72</v>
      </c>
    </row>
    <row r="135" spans="1:12" x14ac:dyDescent="0.35">
      <c r="A135" s="1">
        <v>46024</v>
      </c>
      <c r="B135" t="s">
        <v>80</v>
      </c>
      <c r="C135" t="s">
        <v>196</v>
      </c>
      <c r="D135" t="s">
        <v>26</v>
      </c>
      <c r="E135" t="s">
        <v>81</v>
      </c>
      <c r="F135" t="s">
        <v>42</v>
      </c>
      <c r="G135" t="s">
        <v>26</v>
      </c>
      <c r="H135" t="s">
        <v>84</v>
      </c>
      <c r="I135">
        <v>0</v>
      </c>
      <c r="J135">
        <v>0</v>
      </c>
      <c r="K135">
        <v>2</v>
      </c>
      <c r="L135" t="s">
        <v>72</v>
      </c>
    </row>
    <row r="136" spans="1:12" x14ac:dyDescent="0.35">
      <c r="A136" s="1">
        <v>46024</v>
      </c>
      <c r="B136" t="s">
        <v>80</v>
      </c>
      <c r="C136" t="s">
        <v>49</v>
      </c>
      <c r="D136" t="s">
        <v>45</v>
      </c>
      <c r="E136" t="s">
        <v>81</v>
      </c>
      <c r="F136" t="s">
        <v>86</v>
      </c>
      <c r="G136" t="s">
        <v>70</v>
      </c>
      <c r="H136" t="s">
        <v>82</v>
      </c>
      <c r="I136">
        <v>1</v>
      </c>
      <c r="J136">
        <v>1</v>
      </c>
      <c r="K136">
        <v>2</v>
      </c>
      <c r="L136" t="s">
        <v>72</v>
      </c>
    </row>
    <row r="137" spans="1:12" x14ac:dyDescent="0.35">
      <c r="A137" s="1">
        <v>46024</v>
      </c>
      <c r="B137" t="s">
        <v>80</v>
      </c>
      <c r="C137" t="s">
        <v>33</v>
      </c>
      <c r="D137" t="s">
        <v>69</v>
      </c>
      <c r="E137" t="s">
        <v>81</v>
      </c>
      <c r="F137" t="s">
        <v>86</v>
      </c>
      <c r="G137" t="s">
        <v>55</v>
      </c>
      <c r="H137" t="s">
        <v>82</v>
      </c>
      <c r="I137">
        <v>0</v>
      </c>
      <c r="J137">
        <v>0</v>
      </c>
      <c r="K137">
        <v>1</v>
      </c>
      <c r="L137" t="s">
        <v>72</v>
      </c>
    </row>
    <row r="138" spans="1:12" x14ac:dyDescent="0.35">
      <c r="A138" s="1">
        <v>46024</v>
      </c>
      <c r="B138" t="s">
        <v>80</v>
      </c>
      <c r="C138" t="s">
        <v>197</v>
      </c>
      <c r="D138" t="s">
        <v>61</v>
      </c>
      <c r="E138" t="s">
        <v>81</v>
      </c>
      <c r="F138" t="s">
        <v>86</v>
      </c>
      <c r="G138" t="s">
        <v>70</v>
      </c>
      <c r="H138" t="s">
        <v>84</v>
      </c>
      <c r="I138">
        <v>0</v>
      </c>
      <c r="J138">
        <v>0</v>
      </c>
      <c r="K138">
        <v>0</v>
      </c>
      <c r="L138" t="s">
        <v>72</v>
      </c>
    </row>
    <row r="139" spans="1:12" x14ac:dyDescent="0.35">
      <c r="A139" s="1">
        <v>46024</v>
      </c>
      <c r="B139" t="s">
        <v>80</v>
      </c>
      <c r="C139" t="s">
        <v>198</v>
      </c>
      <c r="D139" t="s">
        <v>69</v>
      </c>
      <c r="E139" t="s">
        <v>81</v>
      </c>
      <c r="F139" t="s">
        <v>86</v>
      </c>
      <c r="G139" t="s">
        <v>55</v>
      </c>
      <c r="H139" t="s">
        <v>84</v>
      </c>
      <c r="I139">
        <v>0</v>
      </c>
      <c r="J139">
        <v>0</v>
      </c>
      <c r="K139">
        <v>1</v>
      </c>
      <c r="L139" t="s">
        <v>72</v>
      </c>
    </row>
    <row r="140" spans="1:12" x14ac:dyDescent="0.35">
      <c r="A140" s="1">
        <v>46024</v>
      </c>
      <c r="B140" t="s">
        <v>80</v>
      </c>
      <c r="C140" t="s">
        <v>199</v>
      </c>
      <c r="D140" t="s">
        <v>39</v>
      </c>
      <c r="E140" t="s">
        <v>91</v>
      </c>
      <c r="F140" t="s">
        <v>86</v>
      </c>
      <c r="G140" t="s">
        <v>70</v>
      </c>
      <c r="H140" t="s">
        <v>84</v>
      </c>
      <c r="I140">
        <v>0</v>
      </c>
      <c r="J140">
        <v>0</v>
      </c>
      <c r="K140">
        <v>0</v>
      </c>
      <c r="L140" t="s">
        <v>72</v>
      </c>
    </row>
    <row r="141" spans="1:12" x14ac:dyDescent="0.35">
      <c r="A141" s="1">
        <v>46024</v>
      </c>
      <c r="B141" t="s">
        <v>80</v>
      </c>
      <c r="C141" t="s">
        <v>31</v>
      </c>
      <c r="D141" t="s">
        <v>32</v>
      </c>
      <c r="E141" t="s">
        <v>81</v>
      </c>
      <c r="F141" t="s">
        <v>86</v>
      </c>
      <c r="G141" t="s">
        <v>55</v>
      </c>
      <c r="H141" t="s">
        <v>82</v>
      </c>
      <c r="I141">
        <v>0</v>
      </c>
      <c r="J141">
        <v>0</v>
      </c>
      <c r="K141">
        <v>1</v>
      </c>
      <c r="L141" t="s">
        <v>72</v>
      </c>
    </row>
    <row r="142" spans="1:12" x14ac:dyDescent="0.35">
      <c r="A142" s="1">
        <v>46024</v>
      </c>
      <c r="B142" t="s">
        <v>80</v>
      </c>
      <c r="C142" t="s">
        <v>200</v>
      </c>
      <c r="D142" t="s">
        <v>59</v>
      </c>
      <c r="E142" t="s">
        <v>81</v>
      </c>
      <c r="F142" t="s">
        <v>86</v>
      </c>
      <c r="G142" t="s">
        <v>55</v>
      </c>
      <c r="H142" t="s">
        <v>84</v>
      </c>
      <c r="I142">
        <v>0</v>
      </c>
      <c r="J142">
        <v>0</v>
      </c>
      <c r="K142">
        <v>1</v>
      </c>
      <c r="L142" t="s">
        <v>72</v>
      </c>
    </row>
    <row r="143" spans="1:12" x14ac:dyDescent="0.35">
      <c r="A143" s="1">
        <v>46024</v>
      </c>
      <c r="B143" t="s">
        <v>80</v>
      </c>
      <c r="C143" t="s">
        <v>201</v>
      </c>
      <c r="D143" t="s">
        <v>66</v>
      </c>
      <c r="E143" t="s">
        <v>81</v>
      </c>
      <c r="F143" t="s">
        <v>86</v>
      </c>
      <c r="G143" t="s">
        <v>70</v>
      </c>
      <c r="H143" t="s">
        <v>84</v>
      </c>
      <c r="I143">
        <v>0</v>
      </c>
      <c r="J143">
        <v>0</v>
      </c>
      <c r="K143">
        <v>1</v>
      </c>
      <c r="L143" t="s">
        <v>72</v>
      </c>
    </row>
    <row r="144" spans="1:12" x14ac:dyDescent="0.35">
      <c r="A144" s="1">
        <v>46024</v>
      </c>
      <c r="B144" t="s">
        <v>80</v>
      </c>
      <c r="C144" t="s">
        <v>108</v>
      </c>
      <c r="D144" t="s">
        <v>49</v>
      </c>
      <c r="E144" t="s">
        <v>81</v>
      </c>
      <c r="F144" t="s">
        <v>86</v>
      </c>
      <c r="G144" t="s">
        <v>70</v>
      </c>
      <c r="H144" t="s">
        <v>84</v>
      </c>
      <c r="I144">
        <v>1</v>
      </c>
      <c r="J144">
        <v>1</v>
      </c>
      <c r="K144">
        <v>1</v>
      </c>
      <c r="L144" t="s">
        <v>72</v>
      </c>
    </row>
    <row r="145" spans="1:12" x14ac:dyDescent="0.35">
      <c r="A145" s="1">
        <v>46024</v>
      </c>
      <c r="B145" t="s">
        <v>80</v>
      </c>
      <c r="C145" t="s">
        <v>202</v>
      </c>
      <c r="D145" t="s">
        <v>49</v>
      </c>
      <c r="E145" t="s">
        <v>81</v>
      </c>
      <c r="F145" t="s">
        <v>86</v>
      </c>
      <c r="G145" t="s">
        <v>70</v>
      </c>
      <c r="H145" t="s">
        <v>84</v>
      </c>
      <c r="I145">
        <v>1</v>
      </c>
      <c r="J145">
        <v>1</v>
      </c>
      <c r="K145">
        <v>1</v>
      </c>
      <c r="L145" t="s">
        <v>72</v>
      </c>
    </row>
    <row r="146" spans="1:12" x14ac:dyDescent="0.35">
      <c r="A146" s="1">
        <v>46024</v>
      </c>
      <c r="B146" t="s">
        <v>80</v>
      </c>
      <c r="C146" t="s">
        <v>52</v>
      </c>
      <c r="D146" t="s">
        <v>28</v>
      </c>
      <c r="E146" t="s">
        <v>81</v>
      </c>
      <c r="F146" t="s">
        <v>86</v>
      </c>
      <c r="G146" t="s">
        <v>70</v>
      </c>
      <c r="H146" t="s">
        <v>82</v>
      </c>
      <c r="I146">
        <v>0</v>
      </c>
      <c r="J146">
        <v>0</v>
      </c>
      <c r="K146">
        <v>1</v>
      </c>
      <c r="L146" t="s">
        <v>72</v>
      </c>
    </row>
    <row r="147" spans="1:12" x14ac:dyDescent="0.35">
      <c r="A147" s="1">
        <v>46024</v>
      </c>
      <c r="B147" t="s">
        <v>80</v>
      </c>
      <c r="C147" t="s">
        <v>203</v>
      </c>
      <c r="D147" t="s">
        <v>50</v>
      </c>
      <c r="E147" t="s">
        <v>91</v>
      </c>
      <c r="F147" t="s">
        <v>86</v>
      </c>
      <c r="G147" t="s">
        <v>70</v>
      </c>
      <c r="H147" t="s">
        <v>84</v>
      </c>
      <c r="I147">
        <v>0</v>
      </c>
      <c r="J147">
        <v>0</v>
      </c>
      <c r="K147">
        <v>2</v>
      </c>
      <c r="L147" t="s">
        <v>72</v>
      </c>
    </row>
    <row r="148" spans="1:12" x14ac:dyDescent="0.35">
      <c r="A148" s="1">
        <v>46024</v>
      </c>
      <c r="B148" t="s">
        <v>80</v>
      </c>
      <c r="C148" t="s">
        <v>204</v>
      </c>
      <c r="D148" t="s">
        <v>57</v>
      </c>
      <c r="E148" t="s">
        <v>81</v>
      </c>
      <c r="F148" t="s">
        <v>86</v>
      </c>
      <c r="G148" t="s">
        <v>55</v>
      </c>
      <c r="H148" t="s">
        <v>84</v>
      </c>
      <c r="I148">
        <v>0</v>
      </c>
      <c r="J148">
        <v>0</v>
      </c>
      <c r="K148">
        <v>4</v>
      </c>
      <c r="L148" t="s">
        <v>72</v>
      </c>
    </row>
    <row r="149" spans="1:12" x14ac:dyDescent="0.35">
      <c r="A149" s="1">
        <v>46024</v>
      </c>
      <c r="B149" t="s">
        <v>80</v>
      </c>
      <c r="C149" t="s">
        <v>205</v>
      </c>
      <c r="D149" t="s">
        <v>26</v>
      </c>
      <c r="E149" t="s">
        <v>81</v>
      </c>
      <c r="F149" t="s">
        <v>42</v>
      </c>
      <c r="G149" t="s">
        <v>26</v>
      </c>
      <c r="H149" t="s">
        <v>84</v>
      </c>
      <c r="I149">
        <v>0</v>
      </c>
      <c r="J149">
        <v>0</v>
      </c>
      <c r="K149">
        <v>0</v>
      </c>
      <c r="L149" t="s">
        <v>72</v>
      </c>
    </row>
    <row r="150" spans="1:12" x14ac:dyDescent="0.35">
      <c r="A150" s="1">
        <v>46024</v>
      </c>
      <c r="B150" t="s">
        <v>80</v>
      </c>
      <c r="C150" t="s">
        <v>206</v>
      </c>
      <c r="D150" t="s">
        <v>61</v>
      </c>
      <c r="E150" t="s">
        <v>81</v>
      </c>
      <c r="F150" t="s">
        <v>86</v>
      </c>
      <c r="G150" t="s">
        <v>70</v>
      </c>
      <c r="H150" t="s">
        <v>84</v>
      </c>
      <c r="I150">
        <v>0</v>
      </c>
      <c r="J150">
        <v>0</v>
      </c>
      <c r="K150">
        <v>0</v>
      </c>
      <c r="L150" t="s">
        <v>72</v>
      </c>
    </row>
    <row r="151" spans="1:12" x14ac:dyDescent="0.35">
      <c r="A151" s="1">
        <v>46024</v>
      </c>
      <c r="B151" t="s">
        <v>80</v>
      </c>
      <c r="C151" t="s">
        <v>207</v>
      </c>
      <c r="D151" t="s">
        <v>36</v>
      </c>
      <c r="E151" t="s">
        <v>81</v>
      </c>
      <c r="F151" t="s">
        <v>86</v>
      </c>
      <c r="G151" t="s">
        <v>88</v>
      </c>
      <c r="H151" t="s">
        <v>84</v>
      </c>
      <c r="I151">
        <v>0</v>
      </c>
      <c r="J151">
        <v>0</v>
      </c>
      <c r="K151">
        <v>0</v>
      </c>
      <c r="L151" t="s">
        <v>72</v>
      </c>
    </row>
    <row r="152" spans="1:12" x14ac:dyDescent="0.35">
      <c r="A152" s="1">
        <v>46024</v>
      </c>
      <c r="B152" t="s">
        <v>80</v>
      </c>
      <c r="C152" t="s">
        <v>208</v>
      </c>
      <c r="D152" t="s">
        <v>37</v>
      </c>
      <c r="E152" t="s">
        <v>81</v>
      </c>
      <c r="F152" t="s">
        <v>86</v>
      </c>
      <c r="G152" t="s">
        <v>70</v>
      </c>
      <c r="H152" t="s">
        <v>84</v>
      </c>
      <c r="I152">
        <v>1</v>
      </c>
      <c r="J152">
        <v>1</v>
      </c>
      <c r="K152">
        <v>1</v>
      </c>
      <c r="L152" t="s">
        <v>72</v>
      </c>
    </row>
    <row r="153" spans="1:12" x14ac:dyDescent="0.35">
      <c r="A153" s="1">
        <v>46024</v>
      </c>
      <c r="B153" t="s">
        <v>80</v>
      </c>
      <c r="C153" t="s">
        <v>209</v>
      </c>
      <c r="D153" t="s">
        <v>35</v>
      </c>
      <c r="E153" t="s">
        <v>91</v>
      </c>
      <c r="F153" t="s">
        <v>42</v>
      </c>
      <c r="G153" t="s">
        <v>42</v>
      </c>
      <c r="H153" t="s">
        <v>84</v>
      </c>
      <c r="I153">
        <v>0</v>
      </c>
      <c r="J153">
        <v>0</v>
      </c>
      <c r="K153">
        <v>0</v>
      </c>
      <c r="L153" t="s">
        <v>72</v>
      </c>
    </row>
    <row r="154" spans="1:12" x14ac:dyDescent="0.35">
      <c r="A154" s="1">
        <v>46024</v>
      </c>
      <c r="B154" t="s">
        <v>80</v>
      </c>
      <c r="C154" t="s">
        <v>210</v>
      </c>
      <c r="D154" t="s">
        <v>40</v>
      </c>
      <c r="E154" t="s">
        <v>81</v>
      </c>
      <c r="F154" t="s">
        <v>42</v>
      </c>
      <c r="G154" t="s">
        <v>42</v>
      </c>
      <c r="H154" t="s">
        <v>84</v>
      </c>
      <c r="I154">
        <v>0</v>
      </c>
      <c r="J154">
        <v>0</v>
      </c>
      <c r="K154">
        <v>0</v>
      </c>
      <c r="L154" t="s">
        <v>72</v>
      </c>
    </row>
    <row r="155" spans="1:12" x14ac:dyDescent="0.35">
      <c r="A155" s="1">
        <v>46024</v>
      </c>
      <c r="B155" t="s">
        <v>80</v>
      </c>
      <c r="C155" t="s">
        <v>211</v>
      </c>
      <c r="D155" t="s">
        <v>31</v>
      </c>
      <c r="E155" t="s">
        <v>81</v>
      </c>
      <c r="F155" t="s">
        <v>86</v>
      </c>
      <c r="G155" t="s">
        <v>55</v>
      </c>
      <c r="H155" t="s">
        <v>84</v>
      </c>
      <c r="I155">
        <v>0</v>
      </c>
      <c r="J155">
        <v>0</v>
      </c>
      <c r="K155">
        <v>1</v>
      </c>
      <c r="L155" t="s">
        <v>72</v>
      </c>
    </row>
    <row r="156" spans="1:12" x14ac:dyDescent="0.35">
      <c r="A156" s="1">
        <v>46024</v>
      </c>
      <c r="B156" t="s">
        <v>80</v>
      </c>
      <c r="C156" t="s">
        <v>212</v>
      </c>
      <c r="D156" t="s">
        <v>64</v>
      </c>
      <c r="E156" t="s">
        <v>83</v>
      </c>
      <c r="F156" t="s">
        <v>86</v>
      </c>
      <c r="G156" t="s">
        <v>60</v>
      </c>
      <c r="H156" t="s">
        <v>84</v>
      </c>
      <c r="I156">
        <v>0</v>
      </c>
      <c r="J156">
        <v>0</v>
      </c>
      <c r="K156">
        <v>0</v>
      </c>
      <c r="L156" t="s">
        <v>72</v>
      </c>
    </row>
    <row r="157" spans="1:12" x14ac:dyDescent="0.35">
      <c r="A157" s="1">
        <v>46024</v>
      </c>
      <c r="B157" t="s">
        <v>80</v>
      </c>
      <c r="C157" t="s">
        <v>213</v>
      </c>
      <c r="D157" t="s">
        <v>28</v>
      </c>
      <c r="E157" t="s">
        <v>81</v>
      </c>
      <c r="F157" t="s">
        <v>86</v>
      </c>
      <c r="G157" t="s">
        <v>70</v>
      </c>
      <c r="H157" t="s">
        <v>84</v>
      </c>
      <c r="I157">
        <v>0</v>
      </c>
      <c r="J157">
        <v>0</v>
      </c>
      <c r="K157">
        <v>1</v>
      </c>
      <c r="L157" t="s">
        <v>72</v>
      </c>
    </row>
    <row r="158" spans="1:12" x14ac:dyDescent="0.35">
      <c r="A158" s="1">
        <v>46024</v>
      </c>
      <c r="B158" t="s">
        <v>80</v>
      </c>
      <c r="C158" t="s">
        <v>67</v>
      </c>
      <c r="D158" t="s">
        <v>70</v>
      </c>
      <c r="E158" t="s">
        <v>81</v>
      </c>
      <c r="F158" t="s">
        <v>86</v>
      </c>
      <c r="G158" t="s">
        <v>70</v>
      </c>
      <c r="H158" t="s">
        <v>82</v>
      </c>
      <c r="I158">
        <v>1</v>
      </c>
      <c r="J158">
        <v>1</v>
      </c>
      <c r="K158">
        <v>1</v>
      </c>
      <c r="L158" t="s">
        <v>72</v>
      </c>
    </row>
    <row r="159" spans="1:12" x14ac:dyDescent="0.35">
      <c r="A159" s="1">
        <v>46024</v>
      </c>
      <c r="B159" t="s">
        <v>80</v>
      </c>
      <c r="C159" t="s">
        <v>48</v>
      </c>
      <c r="D159" t="s">
        <v>32</v>
      </c>
      <c r="E159" t="s">
        <v>81</v>
      </c>
      <c r="F159" t="s">
        <v>86</v>
      </c>
      <c r="G159" t="s">
        <v>55</v>
      </c>
      <c r="H159" t="s">
        <v>82</v>
      </c>
      <c r="I159">
        <v>0</v>
      </c>
      <c r="J159">
        <v>0</v>
      </c>
      <c r="K159">
        <v>1</v>
      </c>
      <c r="L159" t="s">
        <v>72</v>
      </c>
    </row>
    <row r="160" spans="1:12" x14ac:dyDescent="0.35">
      <c r="A160" s="1">
        <v>46024</v>
      </c>
      <c r="B160" t="s">
        <v>80</v>
      </c>
      <c r="C160" t="s">
        <v>214</v>
      </c>
      <c r="D160" t="s">
        <v>67</v>
      </c>
      <c r="E160" t="s">
        <v>81</v>
      </c>
      <c r="F160" t="s">
        <v>86</v>
      </c>
      <c r="G160" t="s">
        <v>70</v>
      </c>
      <c r="H160" t="s">
        <v>84</v>
      </c>
      <c r="I160">
        <v>0</v>
      </c>
      <c r="J160">
        <v>0</v>
      </c>
      <c r="K160">
        <v>0</v>
      </c>
      <c r="L160" t="s">
        <v>72</v>
      </c>
    </row>
    <row r="161" spans="1:12" x14ac:dyDescent="0.35">
      <c r="A161" s="1">
        <v>46024</v>
      </c>
      <c r="B161" t="s">
        <v>80</v>
      </c>
      <c r="C161" t="s">
        <v>37</v>
      </c>
      <c r="D161" t="s">
        <v>45</v>
      </c>
      <c r="E161" t="s">
        <v>81</v>
      </c>
      <c r="F161" t="s">
        <v>86</v>
      </c>
      <c r="G161" t="s">
        <v>70</v>
      </c>
      <c r="H161" t="s">
        <v>82</v>
      </c>
      <c r="I161">
        <v>1</v>
      </c>
      <c r="J161">
        <v>1</v>
      </c>
      <c r="K161">
        <v>2</v>
      </c>
      <c r="L161" t="s">
        <v>72</v>
      </c>
    </row>
    <row r="162" spans="1:12" x14ac:dyDescent="0.35">
      <c r="A162" s="1">
        <v>46024</v>
      </c>
      <c r="B162" t="s">
        <v>80</v>
      </c>
      <c r="C162" t="s">
        <v>215</v>
      </c>
      <c r="D162" t="s">
        <v>59</v>
      </c>
      <c r="E162" t="s">
        <v>81</v>
      </c>
      <c r="F162" t="s">
        <v>86</v>
      </c>
      <c r="G162" t="s">
        <v>55</v>
      </c>
      <c r="H162" t="s">
        <v>84</v>
      </c>
      <c r="I162">
        <v>0</v>
      </c>
      <c r="J162">
        <v>0</v>
      </c>
      <c r="K162">
        <v>1</v>
      </c>
      <c r="L162" t="s">
        <v>72</v>
      </c>
    </row>
    <row r="163" spans="1:12" x14ac:dyDescent="0.35">
      <c r="A163" s="1">
        <v>46024</v>
      </c>
      <c r="B163" t="s">
        <v>80</v>
      </c>
      <c r="C163" t="s">
        <v>216</v>
      </c>
      <c r="D163" t="s">
        <v>52</v>
      </c>
      <c r="E163" t="s">
        <v>81</v>
      </c>
      <c r="F163" t="s">
        <v>86</v>
      </c>
      <c r="G163" t="s">
        <v>70</v>
      </c>
      <c r="H163" t="s">
        <v>84</v>
      </c>
      <c r="I163">
        <v>1</v>
      </c>
      <c r="J163">
        <v>1</v>
      </c>
      <c r="K163">
        <v>1</v>
      </c>
      <c r="L163" t="s">
        <v>72</v>
      </c>
    </row>
    <row r="164" spans="1:12" x14ac:dyDescent="0.35">
      <c r="A164" s="1">
        <v>46024</v>
      </c>
      <c r="B164" t="s">
        <v>80</v>
      </c>
      <c r="C164" t="s">
        <v>217</v>
      </c>
      <c r="D164" t="s">
        <v>50</v>
      </c>
      <c r="E164" t="s">
        <v>91</v>
      </c>
      <c r="F164" t="s">
        <v>86</v>
      </c>
      <c r="G164" t="s">
        <v>70</v>
      </c>
      <c r="H164" t="s">
        <v>84</v>
      </c>
      <c r="I164">
        <v>0</v>
      </c>
      <c r="J164">
        <v>0</v>
      </c>
      <c r="K164">
        <v>2</v>
      </c>
      <c r="L164" t="s">
        <v>72</v>
      </c>
    </row>
    <row r="165" spans="1:12" x14ac:dyDescent="0.35">
      <c r="A165" s="1">
        <v>46024</v>
      </c>
      <c r="B165" t="s">
        <v>80</v>
      </c>
      <c r="C165" t="s">
        <v>218</v>
      </c>
      <c r="D165" t="s">
        <v>62</v>
      </c>
      <c r="E165" t="s">
        <v>81</v>
      </c>
      <c r="F165" t="s">
        <v>86</v>
      </c>
      <c r="G165" t="s">
        <v>55</v>
      </c>
      <c r="H165" t="s">
        <v>84</v>
      </c>
      <c r="I165">
        <v>0</v>
      </c>
      <c r="J165">
        <v>0</v>
      </c>
      <c r="K165">
        <v>0</v>
      </c>
      <c r="L165" t="s">
        <v>72</v>
      </c>
    </row>
    <row r="166" spans="1:12" x14ac:dyDescent="0.35">
      <c r="A166" s="1">
        <v>46024</v>
      </c>
      <c r="B166" t="s">
        <v>80</v>
      </c>
      <c r="C166" t="s">
        <v>219</v>
      </c>
      <c r="D166" t="s">
        <v>43</v>
      </c>
      <c r="E166" t="s">
        <v>81</v>
      </c>
      <c r="F166" t="s">
        <v>86</v>
      </c>
      <c r="G166" t="s">
        <v>70</v>
      </c>
      <c r="H166" t="s">
        <v>84</v>
      </c>
      <c r="I166">
        <v>2</v>
      </c>
      <c r="J166">
        <v>1</v>
      </c>
      <c r="K166">
        <v>2</v>
      </c>
      <c r="L166" t="s">
        <v>72</v>
      </c>
    </row>
    <row r="167" spans="1:12" x14ac:dyDescent="0.35">
      <c r="A167" s="1">
        <v>46024</v>
      </c>
      <c r="B167" t="s">
        <v>80</v>
      </c>
      <c r="C167" t="s">
        <v>43</v>
      </c>
      <c r="D167" t="s">
        <v>28</v>
      </c>
      <c r="E167" t="s">
        <v>81</v>
      </c>
      <c r="F167" t="s">
        <v>86</v>
      </c>
      <c r="G167" t="s">
        <v>70</v>
      </c>
      <c r="H167" t="s">
        <v>82</v>
      </c>
      <c r="I167">
        <v>1</v>
      </c>
      <c r="J167">
        <v>1</v>
      </c>
      <c r="K167">
        <v>1</v>
      </c>
      <c r="L167" t="s">
        <v>72</v>
      </c>
    </row>
    <row r="168" spans="1:12" x14ac:dyDescent="0.35">
      <c r="A168" s="1">
        <v>46024</v>
      </c>
      <c r="B168" t="s">
        <v>80</v>
      </c>
      <c r="C168" t="s">
        <v>220</v>
      </c>
      <c r="D168" t="s">
        <v>57</v>
      </c>
      <c r="E168" t="s">
        <v>81</v>
      </c>
      <c r="F168" t="s">
        <v>86</v>
      </c>
      <c r="G168" t="s">
        <v>55</v>
      </c>
      <c r="H168" t="s">
        <v>84</v>
      </c>
      <c r="I168">
        <v>0</v>
      </c>
      <c r="J168">
        <v>0</v>
      </c>
      <c r="K168">
        <v>4</v>
      </c>
      <c r="L168" t="s">
        <v>72</v>
      </c>
    </row>
    <row r="169" spans="1:12" x14ac:dyDescent="0.35">
      <c r="A169" s="1">
        <v>46024</v>
      </c>
      <c r="B169" t="s">
        <v>80</v>
      </c>
      <c r="C169" t="s">
        <v>221</v>
      </c>
      <c r="D169" t="s">
        <v>61</v>
      </c>
      <c r="E169" t="s">
        <v>81</v>
      </c>
      <c r="F169" t="s">
        <v>86</v>
      </c>
      <c r="G169" t="s">
        <v>70</v>
      </c>
      <c r="H169" t="s">
        <v>84</v>
      </c>
      <c r="I169">
        <v>0</v>
      </c>
      <c r="J169">
        <v>0</v>
      </c>
      <c r="K169">
        <v>0</v>
      </c>
      <c r="L169" t="s">
        <v>72</v>
      </c>
    </row>
    <row r="170" spans="1:12" x14ac:dyDescent="0.35">
      <c r="A170" s="1">
        <v>46024</v>
      </c>
      <c r="B170" t="s">
        <v>80</v>
      </c>
      <c r="C170" t="s">
        <v>222</v>
      </c>
      <c r="D170" t="s">
        <v>57</v>
      </c>
      <c r="E170" t="s">
        <v>81</v>
      </c>
      <c r="F170" t="s">
        <v>86</v>
      </c>
      <c r="G170" t="s">
        <v>55</v>
      </c>
      <c r="H170" t="s">
        <v>84</v>
      </c>
      <c r="I170">
        <v>0</v>
      </c>
      <c r="J170">
        <v>0</v>
      </c>
      <c r="K170">
        <v>4</v>
      </c>
      <c r="L170" t="s">
        <v>72</v>
      </c>
    </row>
    <row r="171" spans="1:12" x14ac:dyDescent="0.35">
      <c r="A171" s="1">
        <v>46024</v>
      </c>
      <c r="B171" t="s">
        <v>80</v>
      </c>
      <c r="C171" t="s">
        <v>223</v>
      </c>
      <c r="D171" t="s">
        <v>69</v>
      </c>
      <c r="E171" t="s">
        <v>81</v>
      </c>
      <c r="F171" t="s">
        <v>86</v>
      </c>
      <c r="G171" t="s">
        <v>55</v>
      </c>
      <c r="H171" t="s">
        <v>84</v>
      </c>
      <c r="I171">
        <v>0</v>
      </c>
      <c r="J171">
        <v>0</v>
      </c>
      <c r="K171">
        <v>1</v>
      </c>
      <c r="L171" t="s">
        <v>72</v>
      </c>
    </row>
    <row r="172" spans="1:12" x14ac:dyDescent="0.35">
      <c r="A172" s="1">
        <v>46024</v>
      </c>
      <c r="B172" t="s">
        <v>80</v>
      </c>
      <c r="C172" t="s">
        <v>224</v>
      </c>
      <c r="D172" t="s">
        <v>30</v>
      </c>
      <c r="E172" t="s">
        <v>81</v>
      </c>
      <c r="F172" t="s">
        <v>42</v>
      </c>
      <c r="G172" t="s">
        <v>26</v>
      </c>
      <c r="H172" t="s">
        <v>84</v>
      </c>
      <c r="I172">
        <v>0</v>
      </c>
      <c r="J172">
        <v>0</v>
      </c>
      <c r="K172">
        <v>0</v>
      </c>
      <c r="L172" t="s">
        <v>72</v>
      </c>
    </row>
    <row r="173" spans="1:12" x14ac:dyDescent="0.35">
      <c r="A173" s="1">
        <v>46024</v>
      </c>
      <c r="B173" t="s">
        <v>80</v>
      </c>
      <c r="C173" t="s">
        <v>225</v>
      </c>
      <c r="D173" t="s">
        <v>41</v>
      </c>
      <c r="E173" t="s">
        <v>81</v>
      </c>
      <c r="F173" t="s">
        <v>86</v>
      </c>
      <c r="G173" t="s">
        <v>70</v>
      </c>
      <c r="H173" t="s">
        <v>84</v>
      </c>
      <c r="I173">
        <v>0</v>
      </c>
      <c r="J173">
        <v>0</v>
      </c>
      <c r="K173">
        <v>1</v>
      </c>
      <c r="L173" t="s">
        <v>72</v>
      </c>
    </row>
    <row r="174" spans="1:12" x14ac:dyDescent="0.35">
      <c r="A174" s="1">
        <v>46024</v>
      </c>
      <c r="B174" t="s">
        <v>80</v>
      </c>
      <c r="C174" t="s">
        <v>226</v>
      </c>
      <c r="D174" t="s">
        <v>52</v>
      </c>
      <c r="E174" t="s">
        <v>81</v>
      </c>
      <c r="F174" t="s">
        <v>86</v>
      </c>
      <c r="G174" t="s">
        <v>70</v>
      </c>
      <c r="H174" t="s">
        <v>84</v>
      </c>
      <c r="I174">
        <v>0</v>
      </c>
      <c r="J174">
        <v>0</v>
      </c>
      <c r="K174">
        <v>0</v>
      </c>
      <c r="L174" t="s">
        <v>72</v>
      </c>
    </row>
    <row r="175" spans="1:12" x14ac:dyDescent="0.35">
      <c r="A175" s="1">
        <v>46024</v>
      </c>
      <c r="B175" t="s">
        <v>80</v>
      </c>
      <c r="C175" t="s">
        <v>227</v>
      </c>
      <c r="D175" t="s">
        <v>56</v>
      </c>
      <c r="E175" t="s">
        <v>81</v>
      </c>
      <c r="F175" t="s">
        <v>86</v>
      </c>
      <c r="G175" t="s">
        <v>70</v>
      </c>
      <c r="H175" t="s">
        <v>84</v>
      </c>
      <c r="I175">
        <v>0</v>
      </c>
      <c r="J175">
        <v>0</v>
      </c>
      <c r="K175">
        <v>0</v>
      </c>
      <c r="L175" t="s">
        <v>72</v>
      </c>
    </row>
  </sheetData>
  <autoFilter ref="A1:L175" xr:uid="{C5E6C224-A487-4839-B40D-5CF0167DF7B7}"/>
  <pageMargins left="0.7" right="0.7" top="0.75" bottom="0.75" header="0.3" footer="0.3"/>
</worksheet>
</file>

<file path=docMetadata/LabelInfo.xml><?xml version="1.0" encoding="utf-8"?>
<clbl:labelList xmlns:clbl="http://schemas.microsoft.com/office/2020/mipLabelMetadata">
  <clbl:label id="{861aedbb-44b4-4bcf-a125-49fa7baf1e26}" enabled="0" method="" siteId="{861aedbb-44b4-4bcf-a125-49fa7baf1e2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Note</vt:lpstr>
      <vt:lpstr>People Manager Pivot Summary</vt:lpstr>
      <vt:lpstr>Master Report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Harshitha N Kulkarni</dc:creator>
  <cp:keywords/>
  <dc:description/>
  <cp:lastModifiedBy>Srividya Ramakrishnan</cp:lastModifiedBy>
  <cp:revision/>
  <dcterms:created xsi:type="dcterms:W3CDTF">2026-03-02T16:16:39Z</dcterms:created>
  <dcterms:modified xsi:type="dcterms:W3CDTF">2026-03-05T05:27:32Z</dcterms:modified>
  <cp:category/>
  <cp:contentStatus/>
</cp:coreProperties>
</file>